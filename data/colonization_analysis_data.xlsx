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ing Matrix" sheetId="1" state="visible" r:id="rId3"/>
    <sheet name="Kano Model" sheetId="2" state="visible" r:id="rId4"/>
    <sheet name="Workload Classification" sheetId="3" state="visible" r:id="rId5"/>
    <sheet name="Stakeholder RACI" sheetId="4" state="visible" r:id="rId6"/>
    <sheet name="Power-Interest Grid" sheetId="5" state="visible" r:id="rId7"/>
    <sheet name="WA Pillar Mapping" sheetId="6" state="visible" r:id="rId8"/>
    <sheet name="Bare Metal vs Virtual" sheetId="7" state="visible" r:id="rId9"/>
    <sheet name="Key Data Poin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<sst xmlns="http://schemas.openxmlformats.org/spreadsheetml/2006/main" count="461" uniqueCount="311">
  <si>
    <t xml:space="preserve">Requirement</t>
  </si>
  <si>
    <t xml:space="preserve">NASA Hazard / WA Pillar</t>
  </si>
  <si>
    <t xml:space="preserve">Tier</t>
  </si>
  <si>
    <t xml:space="preserve">MoSCoW</t>
  </si>
  <si>
    <t xml:space="preserve">Weight</t>
  </si>
  <si>
    <t xml:space="preserve">Moon Score</t>
  </si>
  <si>
    <t xml:space="preserve">Mars Score</t>
  </si>
  <si>
    <t xml:space="preserve">Orbital Score</t>
  </si>
  <si>
    <t xml:space="preserve">Moon Weighted</t>
  </si>
  <si>
    <t xml:space="preserve">Mars Weighted</t>
  </si>
  <si>
    <t xml:space="preserve">Orbital Weighted</t>
  </si>
  <si>
    <t xml:space="preserve">Gravity &gt;0.4g</t>
  </si>
  <si>
    <t xml:space="preserve">Gravity Fields</t>
  </si>
  <si>
    <t xml:space="preserve">Must</t>
  </si>
  <si>
    <t xml:space="preserve">Radiation &lt;600 mSv career</t>
  </si>
  <si>
    <t xml:space="preserve">Radiation</t>
  </si>
  <si>
    <t xml:space="preserve">Closed-loop ECLSS</t>
  </si>
  <si>
    <t xml:space="preserve">Hostile/Closed Env</t>
  </si>
  <si>
    <t xml:space="preserve">Breathable atmosphere generation</t>
  </si>
  <si>
    <t xml:space="preserve">Emergency return path (RTO)</t>
  </si>
  <si>
    <t xml:space="preserve">Distance from Earth</t>
  </si>
  <si>
    <t xml:space="preserve">Supply chain resilience (RPO)</t>
  </si>
  <si>
    <t xml:space="preserve">Communications latency</t>
  </si>
  <si>
    <t xml:space="preserve">Should</t>
  </si>
  <si>
    <t xml:space="preserve">Behavioral health / crew sustainability</t>
  </si>
  <si>
    <t xml:space="preserve">Isolation/Confinement</t>
  </si>
  <si>
    <t xml:space="preserve">ISRU potential</t>
  </si>
  <si>
    <t xml:space="preserve">Performance</t>
  </si>
  <si>
    <t xml:space="preserve">Energy independence</t>
  </si>
  <si>
    <t xml:space="preserve">ECLSS open/closed loop feasibility</t>
  </si>
  <si>
    <t xml:space="preserve">Operations</t>
  </si>
  <si>
    <t xml:space="preserve">Transport cost per kg</t>
  </si>
  <si>
    <t xml:space="preserve">Cost Optimization</t>
  </si>
  <si>
    <t xml:space="preserve">Operating cost per capita/year</t>
  </si>
  <si>
    <t xml:space="preserve">Cost of failure / recovery</t>
  </si>
  <si>
    <t xml:space="preserve">Maintenance crew time ratio</t>
  </si>
  <si>
    <t xml:space="preserve">Operational Excellence</t>
  </si>
  <si>
    <t xml:space="preserve">Automation / remote ops capability</t>
  </si>
  <si>
    <t xml:space="preserve">Monitoring / incident response</t>
  </si>
  <si>
    <t xml:space="preserve">Resource consumption vs renewal rate</t>
  </si>
  <si>
    <t xml:space="preserve">Sustainability</t>
  </si>
  <si>
    <t xml:space="preserve">Closed-loop waste management</t>
  </si>
  <si>
    <t xml:space="preserve">Near-term revenue pathway</t>
  </si>
  <si>
    <t xml:space="preserve">Population scalability</t>
  </si>
  <si>
    <t xml:space="preserve">Could</t>
  </si>
  <si>
    <t xml:space="preserve">Strategic positioning</t>
  </si>
  <si>
    <t xml:space="preserve">Hybrid &amp; Portable</t>
  </si>
  <si>
    <t xml:space="preserve">Technology transferability</t>
  </si>
  <si>
    <t xml:space="preserve">Standard interface compatibility</t>
  </si>
  <si>
    <t xml:space="preserve">TOTALS</t>
  </si>
  <si>
    <t xml:space="preserve">MAX POSSIBLE</t>
  </si>
  <si>
    <t xml:space="preserve">NORMALIZED %</t>
  </si>
  <si>
    <t xml:space="preserve">Kano Category</t>
  </si>
  <si>
    <t xml:space="preserve">Moon</t>
  </si>
  <si>
    <t xml:space="preserve">Mars</t>
  </si>
  <si>
    <t xml:space="preserve">Orbital</t>
  </si>
  <si>
    <t xml:space="preserve">Notes</t>
  </si>
  <si>
    <t xml:space="preserve">Breathable atmosphere</t>
  </si>
  <si>
    <t xml:space="preserve">Basic</t>
  </si>
  <si>
    <t xml:space="preserve">Pass (engineered)</t>
  </si>
  <si>
    <t xml:space="preserve">All require ECLSS</t>
  </si>
  <si>
    <t xml:space="preserve">Radiation protection</t>
  </si>
  <si>
    <t xml:space="preserve">Pass (regolith)</t>
  </si>
  <si>
    <t xml:space="preserve">Pass (atmo+regolith)</t>
  </si>
  <si>
    <t xml:space="preserve">All viable, different methods</t>
  </si>
  <si>
    <t xml:space="preserve">FAIL (0.16g)</t>
  </si>
  <si>
    <t xml:space="preserve">FAIL (0.38g)</t>
  </si>
  <si>
    <t xml:space="preserve">Pass (tunable to 1g)</t>
  </si>
  <si>
    <t xml:space="preserve">Only orbital clears threshold</t>
  </si>
  <si>
    <t xml:space="preserve">Emergency return path</t>
  </si>
  <si>
    <t xml:space="preserve">Pass (3 days)</t>
  </si>
  <si>
    <t xml:space="preserve">FAIL (9+ months)</t>
  </si>
  <si>
    <t xml:space="preserve">Pass (hours to days)</t>
  </si>
  <si>
    <t xml:space="preserve">Mars has no viable abort</t>
  </si>
  <si>
    <t xml:space="preserve">Supply chain reliability</t>
  </si>
  <si>
    <t xml:space="preserve">Pass (days)</t>
  </si>
  <si>
    <t xml:space="preserve">FAIL (26-month windows)</t>
  </si>
  <si>
    <t xml:space="preserve">Pass (days, cislunar)</t>
  </si>
  <si>
    <t xml:space="preserve">Mars RPO is years</t>
  </si>
  <si>
    <t xml:space="preserve">Living space per person</t>
  </si>
  <si>
    <t xml:space="preserve">Limited</t>
  </si>
  <si>
    <t xml:space="preserve">Expandable</t>
  </si>
  <si>
    <t xml:space="preserve">Orbital scales without planetary limits</t>
  </si>
  <si>
    <t xml:space="preserve">Economic opportunity</t>
  </si>
  <si>
    <t xml:space="preserve">Moderate</t>
  </si>
  <si>
    <t xml:space="preserve">Low</t>
  </si>
  <si>
    <t xml:space="preserve">Diverse</t>
  </si>
  <si>
    <t xml:space="preserve">Orbital has broadest revenue portfolio</t>
  </si>
  <si>
    <t xml:space="preserve">Communication quality</t>
  </si>
  <si>
    <t xml:space="preserve">1.3s RT</t>
  </si>
  <si>
    <t xml:space="preserve">4-24min one-way</t>
  </si>
  <si>
    <t xml:space="preserve">Seconds</t>
  </si>
  <si>
    <t xml:space="preserve">Mars prevents real-time interaction</t>
  </si>
  <si>
    <t xml:space="preserve">Energy availability</t>
  </si>
  <si>
    <t xml:space="preserve">14-day night problem</t>
  </si>
  <si>
    <t xml:space="preserve">Dust storm blackouts</t>
  </si>
  <si>
    <t xml:space="preserve">Continuous solar</t>
  </si>
  <si>
    <t xml:space="preserve">Orbital has no interruption cycle</t>
  </si>
  <si>
    <t xml:space="preserve">Supply chain frequency</t>
  </si>
  <si>
    <t xml:space="preserve">Any time</t>
  </si>
  <si>
    <t xml:space="preserve">Every 26 months</t>
  </si>
  <si>
    <t xml:space="preserve">Any time (cislunar)</t>
  </si>
  <si>
    <t xml:space="preserve">Mars window constraint is hard physics</t>
  </si>
  <si>
    <t xml:space="preserve">Simulated Earth gravity</t>
  </si>
  <si>
    <t xml:space="preserve">Excitement</t>
  </si>
  <si>
    <t xml:space="preserve">No</t>
  </si>
  <si>
    <t xml:space="preserve">Yes (rotation)</t>
  </si>
  <si>
    <t xml:space="preserve">Unique to orbital</t>
  </si>
  <si>
    <t xml:space="preserve">Mobility between locations</t>
  </si>
  <si>
    <t xml:space="preserve">No (surface-bound)</t>
  </si>
  <si>
    <t xml:space="preserve">Yes (repositionable)</t>
  </si>
  <si>
    <t xml:space="preserve">Earth-normal day/night cycle</t>
  </si>
  <si>
    <t xml:space="preserve">No (14-day)</t>
  </si>
  <si>
    <t xml:space="preserve">Partial (24.6h sol)</t>
  </si>
  <si>
    <t xml:space="preserve">Yes (configurable)</t>
  </si>
  <si>
    <t xml:space="preserve">Orbital is fully configurable</t>
  </si>
  <si>
    <t xml:space="preserve">Choice of community</t>
  </si>
  <si>
    <t xml:space="preserve">Yes (multiple colonies)</t>
  </si>
  <si>
    <t xml:space="preserve">Panoramic Earth views</t>
  </si>
  <si>
    <t xml:space="preserve">Yes (from surface)</t>
  </si>
  <si>
    <t xml:space="preserve">Yes (position dependent)</t>
  </si>
  <si>
    <t xml:space="preserve">Psychological benefit</t>
  </si>
  <si>
    <t xml:space="preserve">Workload</t>
  </si>
  <si>
    <t xml:space="preserve">Dependencies</t>
  </si>
  <si>
    <t xml:space="preserve">Portability</t>
  </si>
  <si>
    <t xml:space="preserve">Best Placement</t>
  </si>
  <si>
    <t xml:space="preserve">Rationale</t>
  </si>
  <si>
    <t xml:space="preserve">Mining / resource extraction</t>
  </si>
  <si>
    <t xml:space="preserve">High</t>
  </si>
  <si>
    <t xml:space="preserve">Moon surface</t>
  </si>
  <si>
    <t xml:space="preserve">Resources are location-bound. Low gravity = cheap launch to orbit.</t>
  </si>
  <si>
    <t xml:space="preserve">Heavy manufacturing</t>
  </si>
  <si>
    <t xml:space="preserve">Proximity to mined resources. Vacuum useful for some processes.</t>
  </si>
  <si>
    <t xml:space="preserve">Light manufacturing / assembly</t>
  </si>
  <si>
    <t xml:space="preserve">Medium</t>
  </si>
  <si>
    <t xml:space="preserve">Tunable gravity advantages. Near supply chain nodes.</t>
  </si>
  <si>
    <t xml:space="preserve">Agriculture / food production</t>
  </si>
  <si>
    <t xml:space="preserve">Gravity control, continuous solar, no dust contamination.</t>
  </si>
  <si>
    <t xml:space="preserve">Habitation / residential</t>
  </si>
  <si>
    <t xml:space="preserve">Only destination meeting all human health specs simultaneously.</t>
  </si>
  <si>
    <t xml:space="preserve">Science / research</t>
  </si>
  <si>
    <t xml:space="preserve">Any (deploy where needed)</t>
  </si>
  <si>
    <t xml:space="preserve">Portable workload. Moon for geology, orbital for microgravity, Mars for planetary.</t>
  </si>
  <si>
    <t xml:space="preserve">Transport / logistics hub</t>
  </si>
  <si>
    <t xml:space="preserve">Mobile, repositionable. Optimal for hub-and-spoke supply chain.</t>
  </si>
  <si>
    <t xml:space="preserve">Fuel production / depot</t>
  </si>
  <si>
    <t xml:space="preserve">Moon + orbital staging</t>
  </si>
  <si>
    <t xml:space="preserve">Moon extracts water, processes to fuel. Orbital depot distributes.</t>
  </si>
  <si>
    <t xml:space="preserve">Decision</t>
  </si>
  <si>
    <t xml:space="preserve">Govt Agencies</t>
  </si>
  <si>
    <t xml:space="preserve">Private Aerospace</t>
  </si>
  <si>
    <t xml:space="preserve">Colonists</t>
  </si>
  <si>
    <t xml:space="preserve">Scientific Community</t>
  </si>
  <si>
    <t xml:space="preserve">Resource Companies</t>
  </si>
  <si>
    <t xml:space="preserve">Regulatory Bodies</t>
  </si>
  <si>
    <t xml:space="preserve">Destination selection</t>
  </si>
  <si>
    <t xml:space="preserve">A</t>
  </si>
  <si>
    <t xml:space="preserve">C</t>
  </si>
  <si>
    <t xml:space="preserve">I</t>
  </si>
  <si>
    <t xml:space="preserve">Transport architecture</t>
  </si>
  <si>
    <t xml:space="preserve">R</t>
  </si>
  <si>
    <t xml:space="preserve">Habitat design</t>
  </si>
  <si>
    <t xml:space="preserve">Resource extraction plan</t>
  </si>
  <si>
    <t xml:space="preserve">Safety / evacuation (RTO)</t>
  </si>
  <si>
    <t xml:space="preserve">Governance / sovereignty</t>
  </si>
  <si>
    <t xml:space="preserve">Funding model</t>
  </si>
  <si>
    <t xml:space="preserve">R = Responsible, A = Accountable, C = Consulted, I = Informed</t>
  </si>
  <si>
    <t xml:space="preserve">Stakeholder</t>
  </si>
  <si>
    <t xml:space="preserve">Power (1-10)</t>
  </si>
  <si>
    <t xml:space="preserve">Interest (1-10)</t>
  </si>
  <si>
    <t xml:space="preserve">Strategy</t>
  </si>
  <si>
    <t xml:space="preserve">Cloud Analog</t>
  </si>
  <si>
    <t xml:space="preserve">Government space agencies</t>
  </si>
  <si>
    <t xml:space="preserve">Manage closely</t>
  </si>
  <si>
    <t xml:space="preserve">Executive sponsors</t>
  </si>
  <si>
    <t xml:space="preserve">Private aerospace</t>
  </si>
  <si>
    <t xml:space="preserve">Cloud service providers</t>
  </si>
  <si>
    <t xml:space="preserve">Colonists / residents</t>
  </si>
  <si>
    <t xml:space="preserve">Keep informed</t>
  </si>
  <si>
    <t xml:space="preserve">End users</t>
  </si>
  <si>
    <t xml:space="preserve">Earth taxpayers</t>
  </si>
  <si>
    <t xml:space="preserve">Monitor</t>
  </si>
  <si>
    <t xml:space="preserve">Shareholders</t>
  </si>
  <si>
    <t xml:space="preserve">Scientific community</t>
  </si>
  <si>
    <t xml:space="preserve">SMEs / architects</t>
  </si>
  <si>
    <t xml:space="preserve">Military / defense</t>
  </si>
  <si>
    <t xml:space="preserve">Monitor closely</t>
  </si>
  <si>
    <t xml:space="preserve">Security team</t>
  </si>
  <si>
    <t xml:space="preserve">Resource extraction companies</t>
  </si>
  <si>
    <t xml:space="preserve">3→8</t>
  </si>
  <si>
    <t xml:space="preserve">Shifts to manage closely</t>
  </si>
  <si>
    <t xml:space="preserve">Business units</t>
  </si>
  <si>
    <t xml:space="preserve">Regulatory bodies (UN COPUOS)</t>
  </si>
  <si>
    <t xml:space="preserve">Keep satisfied</t>
  </si>
  <si>
    <t xml:space="preserve">Legal / compliance</t>
  </si>
  <si>
    <t xml:space="preserve">Well-Architected Pillar</t>
  </si>
  <si>
    <t xml:space="preserve">IBM</t>
  </si>
  <si>
    <t xml:space="preserve">AWS</t>
  </si>
  <si>
    <t xml:space="preserve">Google</t>
  </si>
  <si>
    <t xml:space="preserve">NASA Hazard Mapping</t>
  </si>
  <si>
    <t xml:space="preserve">Colonization Category</t>
  </si>
  <si>
    <t xml:space="preserve">Security &amp; Compliance</t>
  </si>
  <si>
    <t xml:space="preserve">Yes</t>
  </si>
  <si>
    <t xml:space="preserve">Yes (+ Privacy)</t>
  </si>
  <si>
    <t xml:space="preserve">Radiation, Distance</t>
  </si>
  <si>
    <t xml:space="preserve">Safety &amp; Operations</t>
  </si>
  <si>
    <t xml:space="preserve">Resiliency / Reliability</t>
  </si>
  <si>
    <t xml:space="preserve">Gravity, Hostile Env</t>
  </si>
  <si>
    <t xml:space="preserve">Human Survivability</t>
  </si>
  <si>
    <t xml:space="preserve">All five hazards</t>
  </si>
  <si>
    <t xml:space="preserve">Resource Efficiency</t>
  </si>
  <si>
    <t xml:space="preserve">(Enterprise)</t>
  </si>
  <si>
    <t xml:space="preserve">Transport, Operating, Failure Costs</t>
  </si>
  <si>
    <t xml:space="preserve">Isolation, Hostile Env</t>
  </si>
  <si>
    <t xml:space="preserve">Maintenance, Automation, Monitoring</t>
  </si>
  <si>
    <t xml:space="preserve">Yes (unique)</t>
  </si>
  <si>
    <t xml:space="preserve">(Architecture)</t>
  </si>
  <si>
    <t xml:space="preserve">Technology Transferability</t>
  </si>
  <si>
    <t xml:space="preserve">Yes (unique pillar)</t>
  </si>
  <si>
    <t xml:space="preserve">(Long-term)</t>
  </si>
  <si>
    <t xml:space="preserve">Resource Renewal, Waste Mgmt</t>
  </si>
  <si>
    <t xml:space="preserve">Parameter</t>
  </si>
  <si>
    <t xml:space="preserve">Moon (Bare Metal)</t>
  </si>
  <si>
    <t xml:space="preserve">Mars (Bare Metal)</t>
  </si>
  <si>
    <t xml:space="preserve">Orbital (Virtualized)</t>
  </si>
  <si>
    <t xml:space="preserve">Configurable?</t>
  </si>
  <si>
    <t xml:space="preserve">Gravity</t>
  </si>
  <si>
    <t xml:space="preserve">0.16g (fixed)</t>
  </si>
  <si>
    <t xml:space="preserve">0.38g (fixed)</t>
  </si>
  <si>
    <t xml:space="preserve">0g to 1g+ (rotation speed)</t>
  </si>
  <si>
    <t xml:space="preserve">Orbital only</t>
  </si>
  <si>
    <t xml:space="preserve">Atmosphere</t>
  </si>
  <si>
    <t xml:space="preserve">None (vacuum)</t>
  </si>
  <si>
    <t xml:space="preserve">95% CO2, 0.006 bar</t>
  </si>
  <si>
    <t xml:space="preserve">Engineered to spec</t>
  </si>
  <si>
    <t xml:space="preserve">Radiation shielding</t>
  </si>
  <si>
    <t xml:space="preserve">Regolith dependent</t>
  </si>
  <si>
    <t xml:space="preserve">Thin atmo + regolith</t>
  </si>
  <si>
    <t xml:space="preserve">Design parameter (thickness, material)</t>
  </si>
  <si>
    <t xml:space="preserve">Temperature range</t>
  </si>
  <si>
    <t xml:space="preserve">-173C to +127C</t>
  </si>
  <si>
    <t xml:space="preserve">-60C average</t>
  </si>
  <si>
    <t xml:space="preserve">Thermal management by design</t>
  </si>
  <si>
    <t xml:space="preserve">Day/night cycle</t>
  </si>
  <si>
    <t xml:space="preserve">14 Earth days</t>
  </si>
  <si>
    <t xml:space="preserve">24.6h sol (dust storm blackouts)</t>
  </si>
  <si>
    <t xml:space="preserve">Continuous solar, configurable lighting</t>
  </si>
  <si>
    <t xml:space="preserve">Surface toxicity</t>
  </si>
  <si>
    <t xml:space="preserve">Regolith abrasion</t>
  </si>
  <si>
    <t xml:space="preserve">Perchlorates + sharp dust</t>
  </si>
  <si>
    <t xml:space="preserve">N/A (no planetary surface)</t>
  </si>
  <si>
    <t xml:space="preserve">Data Point</t>
  </si>
  <si>
    <t xml:space="preserve">Value</t>
  </si>
  <si>
    <t xml:space="preserve">Source</t>
  </si>
  <si>
    <t xml:space="preserve">Source #</t>
  </si>
  <si>
    <t xml:space="preserve">Partial gravity health threshold</t>
  </si>
  <si>
    <t xml:space="preserve">&gt;0.4g required</t>
  </si>
  <si>
    <t xml:space="preserve">NASA Technical Reports 2021</t>
  </si>
  <si>
    <t xml:space="preserve">Mars gravity</t>
  </si>
  <si>
    <t xml:space="preserve">0.38g (3.72 m/s2)</t>
  </si>
  <si>
    <t xml:space="preserve">NASA</t>
  </si>
  <si>
    <t xml:space="preserve">Moon gravity</t>
  </si>
  <si>
    <t xml:space="preserve">0.16g (1.62 m/s2)</t>
  </si>
  <si>
    <t xml:space="preserve">ISS mouse study atrophy threshold</t>
  </si>
  <si>
    <t xml:space="preserve">0.67g for full prevention</t>
  </si>
  <si>
    <t xml:space="preserve">URI/Harvard/JAXA 2026</t>
  </si>
  <si>
    <t xml:space="preserve">ISS mouse Mars-analog result</t>
  </si>
  <si>
    <t xml:space="preserve">0.33g mitigated but did not prevent atrophy</t>
  </si>
  <si>
    <t xml:space="preserve">Career radiation limit</t>
  </si>
  <si>
    <t xml:space="preserve">600 mSv</t>
  </si>
  <si>
    <t xml:space="preserve">NASA-STD-3001 Vol 1 Rev C</t>
  </si>
  <si>
    <t xml:space="preserve">Mars current atmospheric pressure</t>
  </si>
  <si>
    <t xml:space="preserve">610 Pa (0.006 bar)</t>
  </si>
  <si>
    <t xml:space="preserve">NASA/Wikipedia</t>
  </si>
  <si>
    <t xml:space="preserve">Mars max achievable pressure (all CO2)</t>
  </si>
  <si>
    <t xml:space="preserve">~0.07 bar (7% Earth)</t>
  </si>
  <si>
    <t xml:space="preserve">MAVEN/Jakosky &amp; Edwards 2018</t>
  </si>
  <si>
    <t xml:space="preserve">Mars gravity atmospheric ceiling</t>
  </si>
  <si>
    <t xml:space="preserve">~0.38 bar</t>
  </si>
  <si>
    <t xml:space="preserve">Planetary Society 2025</t>
  </si>
  <si>
    <t xml:space="preserve">Mars early atmosphere</t>
  </si>
  <si>
    <t xml:space="preserve">&gt;0.5 bar at 4 Ga</t>
  </si>
  <si>
    <t xml:space="preserve">ScienceDirect 2017</t>
  </si>
  <si>
    <t xml:space="preserve">Moon RTO (emergency return)</t>
  </si>
  <si>
    <t xml:space="preserve">~3 days</t>
  </si>
  <si>
    <t xml:space="preserve">Apollo program data</t>
  </si>
  <si>
    <t xml:space="preserve">Mars RTO (emergency return)</t>
  </si>
  <si>
    <t xml:space="preserve">9+ months minimum</t>
  </si>
  <si>
    <t xml:space="preserve">Orbital mechanics</t>
  </si>
  <si>
    <t xml:space="preserve">Mars resupply window</t>
  </si>
  <si>
    <t xml:space="preserve">Mars round trip duration</t>
  </si>
  <si>
    <t xml:space="preserve">~1200 Earth days</t>
  </si>
  <si>
    <t xml:space="preserve">NASA ECLSS paper 2023</t>
  </si>
  <si>
    <t xml:space="preserve">ISS water recovery rate</t>
  </si>
  <si>
    <t xml:space="preserve">~90%</t>
  </si>
  <si>
    <t xml:space="preserve">NASA ECLSS data</t>
  </si>
  <si>
    <t xml:space="preserve">ISS bone density loss</t>
  </si>
  <si>
    <t xml:space="preserve">~1% per month</t>
  </si>
  <si>
    <t xml:space="preserve">NASA 2024</t>
  </si>
  <si>
    <t xml:space="preserve">ISS muscle mass loss</t>
  </si>
  <si>
    <t xml:space="preserve">Up to 20% per month</t>
  </si>
  <si>
    <t xml:space="preserve">PMC 2021</t>
  </si>
  <si>
    <t xml:space="preserve">Operations % of lifetime cost</t>
  </si>
  <si>
    <t xml:space="preserve">98%</t>
  </si>
  <si>
    <t xml:space="preserve">IBM Well-Architected Framework</t>
  </si>
  <si>
    <t xml:space="preserve">Mars atmosphere composition</t>
  </si>
  <si>
    <t xml:space="preserve">95.32% CO2, 2.7% N2, 1.6% Ar</t>
  </si>
  <si>
    <t xml:space="preserve">ESA/NASA</t>
  </si>
  <si>
    <t xml:space="preserve">Artemis Surface Habitat pressure</t>
  </si>
  <si>
    <t xml:space="preserve">8.2 psi (34% O2) or 10.2 psi (26.5% O2)</t>
  </si>
  <si>
    <t xml:space="preserve">NASA ASCEND 2022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</si>
</sst>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CCCCCC"/>
      </patternFill>
    </fill>
    <fill>
      <patternFill patternType="solid">
        <fgColor rgb="FFBDD7EE"/>
        <bgColor rgb="FFCCCCCC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2F2F2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5" min="4" style="0" width="8"/>
    <col collapsed="false" customWidth="true" hidden="false" outlineLevel="0" max="8" min="6" style="0" width="12"/>
    <col collapsed="false" customWidth="true" hidden="false" outlineLevel="0" max="11" min="9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n">
        <v>1</v>
      </c>
      <c r="D2" s="2" t="s">
        <v>13</v>
      </c>
      <c r="E2" s="2" t="n">
        <v>10</v>
      </c>
      <c r="F2" s="2" t="n">
        <v>2</v>
      </c>
      <c r="G2" s="2" t="n">
        <v>4</v>
      </c>
      <c r="H2" s="2" t="n">
        <v>10</v>
      </c>
      <c r="I2" s="2" t="n">
        <f aca="false">E2*F2</f>
        <v>20</v>
      </c>
      <c r="J2" s="2" t="n">
        <f aca="false">E2*G2</f>
        <v>40</v>
      </c>
      <c r="K2" s="2" t="n">
        <f aca="false">E2*H2</f>
        <v>100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n">
        <v>1</v>
      </c>
      <c r="D3" s="2" t="s">
        <v>13</v>
      </c>
      <c r="E3" s="2" t="n">
        <v>9</v>
      </c>
      <c r="F3" s="2" t="n">
        <v>6</v>
      </c>
      <c r="G3" s="2" t="n">
        <v>6</v>
      </c>
      <c r="H3" s="2" t="n">
        <v>5</v>
      </c>
      <c r="I3" s="2" t="n">
        <f aca="false">E3*F3</f>
        <v>54</v>
      </c>
      <c r="J3" s="2" t="n">
        <f aca="false">E3*G3</f>
        <v>54</v>
      </c>
      <c r="K3" s="2" t="n">
        <f aca="false">E3*H3</f>
        <v>45</v>
      </c>
    </row>
    <row r="4" customFormat="false" ht="15" hidden="false" customHeight="false" outlineLevel="0" collapsed="false">
      <c r="A4" s="2" t="s">
        <v>16</v>
      </c>
      <c r="B4" s="2" t="s">
        <v>17</v>
      </c>
      <c r="C4" s="2" t="n">
        <v>1</v>
      </c>
      <c r="D4" s="2" t="s">
        <v>13</v>
      </c>
      <c r="E4" s="2" t="n">
        <v>9</v>
      </c>
      <c r="F4" s="2" t="n">
        <v>5</v>
      </c>
      <c r="G4" s="2" t="n">
        <v>5</v>
      </c>
      <c r="H4" s="2" t="n">
        <v>5</v>
      </c>
      <c r="I4" s="2" t="n">
        <f aca="false">E4*F4</f>
        <v>45</v>
      </c>
      <c r="J4" s="2" t="n">
        <f aca="false">E4*G4</f>
        <v>45</v>
      </c>
      <c r="K4" s="2" t="n">
        <f aca="false">E4*H4</f>
        <v>45</v>
      </c>
    </row>
    <row r="5" customFormat="false" ht="15" hidden="false" customHeight="false" outlineLevel="0" collapsed="false">
      <c r="A5" s="2" t="s">
        <v>18</v>
      </c>
      <c r="B5" s="2" t="s">
        <v>17</v>
      </c>
      <c r="C5" s="2" t="n">
        <v>1</v>
      </c>
      <c r="D5" s="2" t="s">
        <v>13</v>
      </c>
      <c r="E5" s="2" t="n">
        <v>9</v>
      </c>
      <c r="F5" s="2" t="n">
        <v>4</v>
      </c>
      <c r="G5" s="2" t="n">
        <v>5</v>
      </c>
      <c r="H5" s="2" t="n">
        <v>7</v>
      </c>
      <c r="I5" s="2" t="n">
        <f aca="false">E5*F5</f>
        <v>36</v>
      </c>
      <c r="J5" s="2" t="n">
        <f aca="false">E5*G5</f>
        <v>45</v>
      </c>
      <c r="K5" s="2" t="n">
        <f aca="false">E5*H5</f>
        <v>63</v>
      </c>
    </row>
    <row r="6" customFormat="false" ht="15" hidden="false" customHeight="false" outlineLevel="0" collapsed="false">
      <c r="A6" s="3" t="s">
        <v>19</v>
      </c>
      <c r="B6" s="3" t="s">
        <v>20</v>
      </c>
      <c r="C6" s="3" t="n">
        <v>2</v>
      </c>
      <c r="D6" s="3" t="s">
        <v>13</v>
      </c>
      <c r="E6" s="3" t="n">
        <v>8</v>
      </c>
      <c r="F6" s="3" t="n">
        <v>8</v>
      </c>
      <c r="G6" s="3" t="n">
        <v>1</v>
      </c>
      <c r="H6" s="3" t="n">
        <v>7</v>
      </c>
      <c r="I6" s="3" t="n">
        <f aca="false">E6*F6</f>
        <v>64</v>
      </c>
      <c r="J6" s="3" t="n">
        <f aca="false">E6*G6</f>
        <v>8</v>
      </c>
      <c r="K6" s="3" t="n">
        <f aca="false">E6*H6</f>
        <v>56</v>
      </c>
    </row>
    <row r="7" customFormat="false" ht="15" hidden="false" customHeight="false" outlineLevel="0" collapsed="false">
      <c r="A7" s="3" t="s">
        <v>21</v>
      </c>
      <c r="B7" s="3" t="s">
        <v>20</v>
      </c>
      <c r="C7" s="3" t="n">
        <v>2</v>
      </c>
      <c r="D7" s="3" t="s">
        <v>13</v>
      </c>
      <c r="E7" s="3" t="n">
        <v>8</v>
      </c>
      <c r="F7" s="3" t="n">
        <v>8</v>
      </c>
      <c r="G7" s="3" t="n">
        <v>2</v>
      </c>
      <c r="H7" s="3" t="n">
        <v>7</v>
      </c>
      <c r="I7" s="3" t="n">
        <f aca="false">E7*F7</f>
        <v>64</v>
      </c>
      <c r="J7" s="3" t="n">
        <f aca="false">E7*G7</f>
        <v>16</v>
      </c>
      <c r="K7" s="3" t="n">
        <f aca="false">E7*H7</f>
        <v>56</v>
      </c>
    </row>
    <row r="8" customFormat="false" ht="15" hidden="false" customHeight="false" outlineLevel="0" collapsed="false">
      <c r="A8" s="3" t="s">
        <v>22</v>
      </c>
      <c r="B8" s="3" t="s">
        <v>20</v>
      </c>
      <c r="C8" s="3" t="n">
        <v>2</v>
      </c>
      <c r="D8" s="3" t="s">
        <v>23</v>
      </c>
      <c r="E8" s="3" t="n">
        <v>5</v>
      </c>
      <c r="F8" s="3" t="n">
        <v>9</v>
      </c>
      <c r="G8" s="3" t="n">
        <v>2</v>
      </c>
      <c r="H8" s="3" t="n">
        <v>8</v>
      </c>
      <c r="I8" s="3" t="n">
        <f aca="false">E8*F8</f>
        <v>45</v>
      </c>
      <c r="J8" s="3" t="n">
        <f aca="false">E8*G8</f>
        <v>10</v>
      </c>
      <c r="K8" s="3" t="n">
        <f aca="false">E8*H8</f>
        <v>40</v>
      </c>
    </row>
    <row r="9" customFormat="false" ht="15" hidden="false" customHeight="false" outlineLevel="0" collapsed="false">
      <c r="A9" s="3" t="s">
        <v>24</v>
      </c>
      <c r="B9" s="3" t="s">
        <v>25</v>
      </c>
      <c r="C9" s="3" t="n">
        <v>2</v>
      </c>
      <c r="D9" s="3" t="s">
        <v>23</v>
      </c>
      <c r="E9" s="3" t="n">
        <v>6</v>
      </c>
      <c r="F9" s="3" t="n">
        <v>7</v>
      </c>
      <c r="G9" s="3" t="n">
        <v>3</v>
      </c>
      <c r="H9" s="3" t="n">
        <v>6</v>
      </c>
      <c r="I9" s="3" t="n">
        <f aca="false">E9*F9</f>
        <v>42</v>
      </c>
      <c r="J9" s="3" t="n">
        <f aca="false">E9*G9</f>
        <v>18</v>
      </c>
      <c r="K9" s="3" t="n">
        <f aca="false">E9*H9</f>
        <v>36</v>
      </c>
    </row>
    <row r="10" customFormat="false" ht="15" hidden="false" customHeight="false" outlineLevel="0" collapsed="false">
      <c r="A10" s="4" t="s">
        <v>26</v>
      </c>
      <c r="B10" s="4" t="s">
        <v>27</v>
      </c>
      <c r="C10" s="4" t="n">
        <v>3</v>
      </c>
      <c r="D10" s="4" t="s">
        <v>23</v>
      </c>
      <c r="E10" s="4" t="n">
        <v>7</v>
      </c>
      <c r="F10" s="4" t="n">
        <v>7</v>
      </c>
      <c r="G10" s="4" t="n">
        <v>7</v>
      </c>
      <c r="H10" s="4" t="n">
        <v>3</v>
      </c>
      <c r="I10" s="4" t="n">
        <f aca="false">E10*F10</f>
        <v>49</v>
      </c>
      <c r="J10" s="4" t="n">
        <f aca="false">E10*G10</f>
        <v>49</v>
      </c>
      <c r="K10" s="4" t="n">
        <f aca="false">E10*H10</f>
        <v>21</v>
      </c>
    </row>
    <row r="11" customFormat="false" ht="15" hidden="false" customHeight="false" outlineLevel="0" collapsed="false">
      <c r="A11" s="4" t="s">
        <v>28</v>
      </c>
      <c r="B11" s="4" t="s">
        <v>27</v>
      </c>
      <c r="C11" s="4" t="n">
        <v>3</v>
      </c>
      <c r="D11" s="4" t="s">
        <v>23</v>
      </c>
      <c r="E11" s="4" t="n">
        <v>7</v>
      </c>
      <c r="F11" s="4" t="n">
        <v>4</v>
      </c>
      <c r="G11" s="4" t="n">
        <v>5</v>
      </c>
      <c r="H11" s="4" t="n">
        <v>8</v>
      </c>
      <c r="I11" s="4" t="n">
        <f aca="false">E11*F11</f>
        <v>28</v>
      </c>
      <c r="J11" s="4" t="n">
        <f aca="false">E11*G11</f>
        <v>35</v>
      </c>
      <c r="K11" s="4" t="n">
        <f aca="false">E11*H11</f>
        <v>56</v>
      </c>
    </row>
    <row r="12" customFormat="false" ht="15" hidden="false" customHeight="false" outlineLevel="0" collapsed="false">
      <c r="A12" s="4" t="s">
        <v>29</v>
      </c>
      <c r="B12" s="4" t="s">
        <v>30</v>
      </c>
      <c r="C12" s="4" t="n">
        <v>3</v>
      </c>
      <c r="D12" s="4" t="s">
        <v>23</v>
      </c>
      <c r="E12" s="4" t="n">
        <v>6</v>
      </c>
      <c r="F12" s="4" t="n">
        <v>6</v>
      </c>
      <c r="G12" s="4" t="n">
        <v>4</v>
      </c>
      <c r="H12" s="4" t="n">
        <v>6</v>
      </c>
      <c r="I12" s="4" t="n">
        <f aca="false">E12*F12</f>
        <v>36</v>
      </c>
      <c r="J12" s="4" t="n">
        <f aca="false">E12*G12</f>
        <v>24</v>
      </c>
      <c r="K12" s="4" t="n">
        <f aca="false">E12*H12</f>
        <v>36</v>
      </c>
    </row>
    <row r="13" customFormat="false" ht="15" hidden="false" customHeight="false" outlineLevel="0" collapsed="false">
      <c r="A13" s="4" t="s">
        <v>31</v>
      </c>
      <c r="B13" s="4" t="s">
        <v>32</v>
      </c>
      <c r="C13" s="4" t="n">
        <v>3</v>
      </c>
      <c r="D13" s="4" t="s">
        <v>13</v>
      </c>
      <c r="E13" s="4" t="n">
        <v>8</v>
      </c>
      <c r="F13" s="4" t="n">
        <v>8</v>
      </c>
      <c r="G13" s="4" t="n">
        <v>2</v>
      </c>
      <c r="H13" s="4" t="n">
        <v>7</v>
      </c>
      <c r="I13" s="4" t="n">
        <f aca="false">E13*F13</f>
        <v>64</v>
      </c>
      <c r="J13" s="4" t="n">
        <f aca="false">E13*G13</f>
        <v>16</v>
      </c>
      <c r="K13" s="4" t="n">
        <f aca="false">E13*H13</f>
        <v>56</v>
      </c>
    </row>
    <row r="14" customFormat="false" ht="15" hidden="false" customHeight="false" outlineLevel="0" collapsed="false">
      <c r="A14" s="4" t="s">
        <v>33</v>
      </c>
      <c r="B14" s="4" t="s">
        <v>32</v>
      </c>
      <c r="C14" s="4" t="n">
        <v>3</v>
      </c>
      <c r="D14" s="4" t="s">
        <v>23</v>
      </c>
      <c r="E14" s="4" t="n">
        <v>7</v>
      </c>
      <c r="F14" s="4" t="n">
        <v>5</v>
      </c>
      <c r="G14" s="4" t="n">
        <v>3</v>
      </c>
      <c r="H14" s="4" t="n">
        <v>5</v>
      </c>
      <c r="I14" s="4" t="n">
        <f aca="false">E14*F14</f>
        <v>35</v>
      </c>
      <c r="J14" s="4" t="n">
        <f aca="false">E14*G14</f>
        <v>21</v>
      </c>
      <c r="K14" s="4" t="n">
        <f aca="false">E14*H14</f>
        <v>35</v>
      </c>
    </row>
    <row r="15" customFormat="false" ht="15" hidden="false" customHeight="false" outlineLevel="0" collapsed="false">
      <c r="A15" s="4" t="s">
        <v>34</v>
      </c>
      <c r="B15" s="4" t="s">
        <v>32</v>
      </c>
      <c r="C15" s="4" t="n">
        <v>3</v>
      </c>
      <c r="D15" s="4" t="s">
        <v>13</v>
      </c>
      <c r="E15" s="4" t="n">
        <v>7</v>
      </c>
      <c r="F15" s="4" t="n">
        <v>6</v>
      </c>
      <c r="G15" s="4" t="n">
        <v>2</v>
      </c>
      <c r="H15" s="4" t="n">
        <v>5</v>
      </c>
      <c r="I15" s="4" t="n">
        <f aca="false">E15*F15</f>
        <v>42</v>
      </c>
      <c r="J15" s="4" t="n">
        <f aca="false">E15*G15</f>
        <v>14</v>
      </c>
      <c r="K15" s="4" t="n">
        <f aca="false">E15*H15</f>
        <v>35</v>
      </c>
    </row>
    <row r="16" customFormat="false" ht="15" hidden="false" customHeight="false" outlineLevel="0" collapsed="false">
      <c r="A16" s="4" t="s">
        <v>35</v>
      </c>
      <c r="B16" s="4" t="s">
        <v>36</v>
      </c>
      <c r="C16" s="4" t="n">
        <v>3</v>
      </c>
      <c r="D16" s="4" t="s">
        <v>23</v>
      </c>
      <c r="E16" s="4" t="n">
        <v>6</v>
      </c>
      <c r="F16" s="4" t="n">
        <v>5</v>
      </c>
      <c r="G16" s="4" t="n">
        <v>4</v>
      </c>
      <c r="H16" s="4" t="n">
        <v>5</v>
      </c>
      <c r="I16" s="4" t="n">
        <f aca="false">E16*F16</f>
        <v>30</v>
      </c>
      <c r="J16" s="4" t="n">
        <f aca="false">E16*G16</f>
        <v>24</v>
      </c>
      <c r="K16" s="4" t="n">
        <f aca="false">E16*H16</f>
        <v>30</v>
      </c>
    </row>
    <row r="17" customFormat="false" ht="15" hidden="false" customHeight="false" outlineLevel="0" collapsed="false">
      <c r="A17" s="4" t="s">
        <v>37</v>
      </c>
      <c r="B17" s="4" t="s">
        <v>36</v>
      </c>
      <c r="C17" s="4" t="n">
        <v>3</v>
      </c>
      <c r="D17" s="4" t="s">
        <v>23</v>
      </c>
      <c r="E17" s="4" t="n">
        <v>6</v>
      </c>
      <c r="F17" s="4" t="n">
        <v>7</v>
      </c>
      <c r="G17" s="4" t="n">
        <v>3</v>
      </c>
      <c r="H17" s="4" t="n">
        <v>7</v>
      </c>
      <c r="I17" s="4" t="n">
        <f aca="false">E17*F17</f>
        <v>42</v>
      </c>
      <c r="J17" s="4" t="n">
        <f aca="false">E17*G17</f>
        <v>18</v>
      </c>
      <c r="K17" s="4" t="n">
        <f aca="false">E17*H17</f>
        <v>42</v>
      </c>
    </row>
    <row r="18" customFormat="false" ht="15" hidden="false" customHeight="false" outlineLevel="0" collapsed="false">
      <c r="A18" s="4" t="s">
        <v>38</v>
      </c>
      <c r="B18" s="4" t="s">
        <v>36</v>
      </c>
      <c r="C18" s="4" t="n">
        <v>3</v>
      </c>
      <c r="D18" s="4" t="s">
        <v>23</v>
      </c>
      <c r="E18" s="4" t="n">
        <v>5</v>
      </c>
      <c r="F18" s="4" t="n">
        <v>8</v>
      </c>
      <c r="G18" s="4" t="n">
        <v>2</v>
      </c>
      <c r="H18" s="4" t="n">
        <v>7</v>
      </c>
      <c r="I18" s="4" t="n">
        <f aca="false">E18*F18</f>
        <v>40</v>
      </c>
      <c r="J18" s="4" t="n">
        <f aca="false">E18*G18</f>
        <v>10</v>
      </c>
      <c r="K18" s="4" t="n">
        <f aca="false">E18*H18</f>
        <v>35</v>
      </c>
    </row>
    <row r="19" customFormat="false" ht="15" hidden="false" customHeight="false" outlineLevel="0" collapsed="false">
      <c r="A19" s="4" t="s">
        <v>39</v>
      </c>
      <c r="B19" s="4" t="s">
        <v>40</v>
      </c>
      <c r="C19" s="4" t="n">
        <v>3</v>
      </c>
      <c r="D19" s="4" t="s">
        <v>23</v>
      </c>
      <c r="E19" s="4" t="n">
        <v>6</v>
      </c>
      <c r="F19" s="4" t="n">
        <v>5</v>
      </c>
      <c r="G19" s="4" t="n">
        <v>5</v>
      </c>
      <c r="H19" s="4" t="n">
        <v>4</v>
      </c>
      <c r="I19" s="4" t="n">
        <f aca="false">E19*F19</f>
        <v>30</v>
      </c>
      <c r="J19" s="4" t="n">
        <f aca="false">E19*G19</f>
        <v>30</v>
      </c>
      <c r="K19" s="4" t="n">
        <f aca="false">E19*H19</f>
        <v>24</v>
      </c>
    </row>
    <row r="20" customFormat="false" ht="15" hidden="false" customHeight="false" outlineLevel="0" collapsed="false">
      <c r="A20" s="4" t="s">
        <v>41</v>
      </c>
      <c r="B20" s="4" t="s">
        <v>40</v>
      </c>
      <c r="C20" s="4" t="n">
        <v>3</v>
      </c>
      <c r="D20" s="4" t="s">
        <v>23</v>
      </c>
      <c r="E20" s="4" t="n">
        <v>5</v>
      </c>
      <c r="F20" s="4" t="n">
        <v>4</v>
      </c>
      <c r="G20" s="4" t="n">
        <v>4</v>
      </c>
      <c r="H20" s="4" t="n">
        <v>5</v>
      </c>
      <c r="I20" s="4" t="n">
        <f aca="false">E20*F20</f>
        <v>20</v>
      </c>
      <c r="J20" s="4" t="n">
        <f aca="false">E20*G20</f>
        <v>20</v>
      </c>
      <c r="K20" s="4" t="n">
        <f aca="false">E20*H20</f>
        <v>25</v>
      </c>
    </row>
    <row r="21" customFormat="false" ht="15" hidden="false" customHeight="false" outlineLevel="0" collapsed="false">
      <c r="A21" s="4" t="s">
        <v>42</v>
      </c>
      <c r="B21" s="4" t="s">
        <v>32</v>
      </c>
      <c r="C21" s="4" t="n">
        <v>4</v>
      </c>
      <c r="D21" s="4" t="s">
        <v>23</v>
      </c>
      <c r="E21" s="4" t="n">
        <v>7</v>
      </c>
      <c r="F21" s="4" t="n">
        <v>5</v>
      </c>
      <c r="G21" s="4" t="n">
        <v>3</v>
      </c>
      <c r="H21" s="4" t="n">
        <v>7</v>
      </c>
      <c r="I21" s="4" t="n">
        <f aca="false">E21*F21</f>
        <v>35</v>
      </c>
      <c r="J21" s="4" t="n">
        <f aca="false">E21*G21</f>
        <v>21</v>
      </c>
      <c r="K21" s="4" t="n">
        <f aca="false">E21*H21</f>
        <v>49</v>
      </c>
    </row>
    <row r="22" customFormat="false" ht="15" hidden="false" customHeight="false" outlineLevel="0" collapsed="false">
      <c r="A22" s="4" t="s">
        <v>43</v>
      </c>
      <c r="B22" s="4" t="s">
        <v>27</v>
      </c>
      <c r="C22" s="4" t="n">
        <v>4</v>
      </c>
      <c r="D22" s="4" t="s">
        <v>44</v>
      </c>
      <c r="E22" s="4" t="n">
        <v>5</v>
      </c>
      <c r="F22" s="4" t="n">
        <v>4</v>
      </c>
      <c r="G22" s="4" t="n">
        <v>5</v>
      </c>
      <c r="H22" s="4" t="n">
        <v>9</v>
      </c>
      <c r="I22" s="4" t="n">
        <f aca="false">E22*F22</f>
        <v>20</v>
      </c>
      <c r="J22" s="4" t="n">
        <f aca="false">E22*G22</f>
        <v>25</v>
      </c>
      <c r="K22" s="4" t="n">
        <f aca="false">E22*H22</f>
        <v>45</v>
      </c>
    </row>
    <row r="23" customFormat="false" ht="15" hidden="false" customHeight="false" outlineLevel="0" collapsed="false">
      <c r="A23" s="4" t="s">
        <v>45</v>
      </c>
      <c r="B23" s="4" t="s">
        <v>46</v>
      </c>
      <c r="C23" s="4" t="n">
        <v>4</v>
      </c>
      <c r="D23" s="4" t="s">
        <v>44</v>
      </c>
      <c r="E23" s="4" t="n">
        <v>4</v>
      </c>
      <c r="F23" s="4" t="n">
        <v>6</v>
      </c>
      <c r="G23" s="4" t="n">
        <v>3</v>
      </c>
      <c r="H23" s="4" t="n">
        <v>8</v>
      </c>
      <c r="I23" s="4" t="n">
        <f aca="false">E23*F23</f>
        <v>24</v>
      </c>
      <c r="J23" s="4" t="n">
        <f aca="false">E23*G23</f>
        <v>12</v>
      </c>
      <c r="K23" s="4" t="n">
        <f aca="false">E23*H23</f>
        <v>32</v>
      </c>
    </row>
    <row r="24" customFormat="false" ht="15" hidden="false" customHeight="false" outlineLevel="0" collapsed="false">
      <c r="A24" s="4" t="s">
        <v>47</v>
      </c>
      <c r="B24" s="4" t="s">
        <v>46</v>
      </c>
      <c r="C24" s="4" t="n">
        <v>4</v>
      </c>
      <c r="D24" s="4" t="s">
        <v>23</v>
      </c>
      <c r="E24" s="4" t="n">
        <v>6</v>
      </c>
      <c r="F24" s="4" t="n">
        <v>7</v>
      </c>
      <c r="G24" s="4" t="n">
        <v>4</v>
      </c>
      <c r="H24" s="4" t="n">
        <v>8</v>
      </c>
      <c r="I24" s="4" t="n">
        <f aca="false">E24*F24</f>
        <v>42</v>
      </c>
      <c r="J24" s="4" t="n">
        <f aca="false">E24*G24</f>
        <v>24</v>
      </c>
      <c r="K24" s="4" t="n">
        <f aca="false">E24*H24</f>
        <v>48</v>
      </c>
    </row>
    <row r="25" customFormat="false" ht="15" hidden="false" customHeight="false" outlineLevel="0" collapsed="false">
      <c r="A25" s="4" t="s">
        <v>48</v>
      </c>
      <c r="B25" s="4" t="s">
        <v>46</v>
      </c>
      <c r="C25" s="4" t="n">
        <v>4</v>
      </c>
      <c r="D25" s="4" t="s">
        <v>44</v>
      </c>
      <c r="E25" s="4" t="n">
        <v>4</v>
      </c>
      <c r="F25" s="4" t="n">
        <v>6</v>
      </c>
      <c r="G25" s="4" t="n">
        <v>5</v>
      </c>
      <c r="H25" s="4" t="n">
        <v>7</v>
      </c>
      <c r="I25" s="4" t="n">
        <f aca="false">E25*F25</f>
        <v>24</v>
      </c>
      <c r="J25" s="4" t="n">
        <f aca="false">E25*G25</f>
        <v>20</v>
      </c>
      <c r="K25" s="4" t="n">
        <f aca="false">E25*H25</f>
        <v>28</v>
      </c>
    </row>
    <row r="26" customFormat="false" ht="15" hidden="false" customHeight="false" outlineLevel="0" collapsed="false">
      <c r="A26" s="5" t="s">
        <v>49</v>
      </c>
      <c r="B26" s="5"/>
      <c r="C26" s="5"/>
      <c r="D26" s="5"/>
      <c r="E26" s="5" t="n">
        <f aca="false">SUM(E2:E25)</f>
        <v>160</v>
      </c>
      <c r="F26" s="5"/>
      <c r="G26" s="5"/>
      <c r="H26" s="5"/>
      <c r="I26" s="5" t="n">
        <f aca="false">SUM(I2:I25)</f>
        <v>931</v>
      </c>
      <c r="J26" s="5" t="n">
        <f aca="false">SUM(J2:J25)</f>
        <v>599</v>
      </c>
      <c r="K26" s="5" t="n">
        <f aca="false">SUM(K2:K25)</f>
        <v>1038</v>
      </c>
    </row>
    <row r="27" customFormat="false" ht="15" hidden="false" customHeight="false" outlineLevel="0" collapsed="false">
      <c r="A27" s="4" t="s">
        <v>50</v>
      </c>
      <c r="B27" s="4"/>
      <c r="C27" s="4"/>
      <c r="D27" s="4"/>
      <c r="E27" s="4"/>
      <c r="F27" s="4"/>
      <c r="G27" s="4"/>
      <c r="H27" s="4"/>
      <c r="I27" s="4" t="n">
        <f aca="false">E26*10</f>
        <v>1600</v>
      </c>
      <c r="J27" s="4" t="n">
        <f aca="false">E26*10</f>
        <v>1600</v>
      </c>
      <c r="K27" s="4" t="n">
        <f aca="false">E26*10</f>
        <v>1600</v>
      </c>
    </row>
    <row r="28" customFormat="false" ht="15" hidden="false" customHeight="false" outlineLevel="0" collapsed="false">
      <c r="A28" s="6" t="s">
        <v>51</v>
      </c>
      <c r="B28" s="6"/>
      <c r="C28" s="6"/>
      <c r="D28" s="6"/>
      <c r="E28" s="6"/>
      <c r="F28" s="6"/>
      <c r="G28" s="6"/>
      <c r="H28" s="6"/>
      <c r="I28" s="7" t="n">
        <f aca="false">I26/I27</f>
        <v>0.581875</v>
      </c>
      <c r="J28" s="7" t="n">
        <f aca="false">J26/J27</f>
        <v>0.374375</v>
      </c>
      <c r="K28" s="7" t="n">
        <f aca="false">K26/K27</f>
        <v>0.64875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5" min="3" style="0" width="22"/>
    <col collapsed="false" customWidth="true" hidden="false" outlineLevel="0" max="6" min="6" style="0" width="40"/>
  </cols>
  <sheetData>
    <row r="1" customFormat="false" ht="26.85" hidden="false" customHeight="false" outlineLevel="0" collapsed="false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customFormat="false" ht="15" hidden="false" customHeight="false" outlineLevel="0" collapsed="false">
      <c r="A2" s="4" t="s">
        <v>57</v>
      </c>
      <c r="B2" s="4" t="s">
        <v>58</v>
      </c>
      <c r="C2" s="8" t="s">
        <v>59</v>
      </c>
      <c r="D2" s="8" t="s">
        <v>59</v>
      </c>
      <c r="E2" s="8" t="s">
        <v>59</v>
      </c>
      <c r="F2" s="4" t="s">
        <v>60</v>
      </c>
    </row>
    <row r="3" customFormat="false" ht="15" hidden="false" customHeight="false" outlineLevel="0" collapsed="false">
      <c r="A3" s="4" t="s">
        <v>61</v>
      </c>
      <c r="B3" s="4" t="s">
        <v>58</v>
      </c>
      <c r="C3" s="8" t="s">
        <v>62</v>
      </c>
      <c r="D3" s="8" t="s">
        <v>63</v>
      </c>
      <c r="E3" s="8" t="s">
        <v>59</v>
      </c>
      <c r="F3" s="4" t="s">
        <v>64</v>
      </c>
    </row>
    <row r="4" customFormat="false" ht="15" hidden="false" customHeight="false" outlineLevel="0" collapsed="false">
      <c r="A4" s="4" t="s">
        <v>11</v>
      </c>
      <c r="B4" s="4" t="s">
        <v>58</v>
      </c>
      <c r="C4" s="9" t="s">
        <v>65</v>
      </c>
      <c r="D4" s="9" t="s">
        <v>66</v>
      </c>
      <c r="E4" s="8" t="s">
        <v>67</v>
      </c>
      <c r="F4" s="4" t="s">
        <v>68</v>
      </c>
    </row>
    <row r="5" customFormat="false" ht="15" hidden="false" customHeight="false" outlineLevel="0" collapsed="false">
      <c r="A5" s="4" t="s">
        <v>69</v>
      </c>
      <c r="B5" s="4" t="s">
        <v>58</v>
      </c>
      <c r="C5" s="8" t="s">
        <v>70</v>
      </c>
      <c r="D5" s="9" t="s">
        <v>71</v>
      </c>
      <c r="E5" s="8" t="s">
        <v>72</v>
      </c>
      <c r="F5" s="4" t="s">
        <v>73</v>
      </c>
    </row>
    <row r="6" customFormat="false" ht="15" hidden="false" customHeight="false" outlineLevel="0" collapsed="false">
      <c r="A6" s="4" t="s">
        <v>74</v>
      </c>
      <c r="B6" s="4" t="s">
        <v>58</v>
      </c>
      <c r="C6" s="8" t="s">
        <v>75</v>
      </c>
      <c r="D6" s="9" t="s">
        <v>76</v>
      </c>
      <c r="E6" s="8" t="s">
        <v>77</v>
      </c>
      <c r="F6" s="4" t="s">
        <v>78</v>
      </c>
    </row>
    <row r="7" customFormat="false" ht="15" hidden="false" customHeight="false" outlineLevel="0" collapsed="false">
      <c r="A7" s="4" t="s">
        <v>79</v>
      </c>
      <c r="B7" s="4" t="s">
        <v>27</v>
      </c>
      <c r="C7" s="4" t="s">
        <v>80</v>
      </c>
      <c r="D7" s="4" t="s">
        <v>80</v>
      </c>
      <c r="E7" s="4" t="s">
        <v>81</v>
      </c>
      <c r="F7" s="4" t="s">
        <v>82</v>
      </c>
    </row>
    <row r="8" customFormat="false" ht="15" hidden="false" customHeight="false" outlineLevel="0" collapsed="false">
      <c r="A8" s="4" t="s">
        <v>83</v>
      </c>
      <c r="B8" s="4" t="s">
        <v>27</v>
      </c>
      <c r="C8" s="4" t="s">
        <v>84</v>
      </c>
      <c r="D8" s="4" t="s">
        <v>85</v>
      </c>
      <c r="E8" s="4" t="s">
        <v>86</v>
      </c>
      <c r="F8" s="4" t="s">
        <v>87</v>
      </c>
    </row>
    <row r="9" customFormat="false" ht="15" hidden="false" customHeight="false" outlineLevel="0" collapsed="false">
      <c r="A9" s="4" t="s">
        <v>88</v>
      </c>
      <c r="B9" s="4" t="s">
        <v>27</v>
      </c>
      <c r="C9" s="4" t="s">
        <v>89</v>
      </c>
      <c r="D9" s="4" t="s">
        <v>90</v>
      </c>
      <c r="E9" s="4" t="s">
        <v>91</v>
      </c>
      <c r="F9" s="4" t="s">
        <v>92</v>
      </c>
    </row>
    <row r="10" customFormat="false" ht="15" hidden="false" customHeight="false" outlineLevel="0" collapsed="false">
      <c r="A10" s="4" t="s">
        <v>93</v>
      </c>
      <c r="B10" s="4" t="s">
        <v>27</v>
      </c>
      <c r="C10" s="4" t="s">
        <v>94</v>
      </c>
      <c r="D10" s="4" t="s">
        <v>95</v>
      </c>
      <c r="E10" s="4" t="s">
        <v>96</v>
      </c>
      <c r="F10" s="4" t="s">
        <v>97</v>
      </c>
    </row>
    <row r="11" customFormat="false" ht="15" hidden="false" customHeight="false" outlineLevel="0" collapsed="false">
      <c r="A11" s="4" t="s">
        <v>98</v>
      </c>
      <c r="B11" s="4" t="s">
        <v>27</v>
      </c>
      <c r="C11" s="4" t="s">
        <v>99</v>
      </c>
      <c r="D11" s="4" t="s">
        <v>100</v>
      </c>
      <c r="E11" s="4" t="s">
        <v>101</v>
      </c>
      <c r="F11" s="4" t="s">
        <v>102</v>
      </c>
    </row>
    <row r="12" customFormat="false" ht="15" hidden="false" customHeight="false" outlineLevel="0" collapsed="false">
      <c r="A12" s="4" t="s">
        <v>103</v>
      </c>
      <c r="B12" s="4" t="s">
        <v>104</v>
      </c>
      <c r="C12" s="4" t="s">
        <v>105</v>
      </c>
      <c r="D12" s="4" t="s">
        <v>105</v>
      </c>
      <c r="E12" s="8" t="s">
        <v>106</v>
      </c>
      <c r="F12" s="4" t="s">
        <v>107</v>
      </c>
    </row>
    <row r="13" customFormat="false" ht="15" hidden="false" customHeight="false" outlineLevel="0" collapsed="false">
      <c r="A13" s="4" t="s">
        <v>108</v>
      </c>
      <c r="B13" s="4" t="s">
        <v>104</v>
      </c>
      <c r="C13" s="4" t="s">
        <v>109</v>
      </c>
      <c r="D13" s="4" t="s">
        <v>109</v>
      </c>
      <c r="E13" s="8" t="s">
        <v>110</v>
      </c>
      <c r="F13" s="4" t="s">
        <v>107</v>
      </c>
    </row>
    <row r="14" customFormat="false" ht="15" hidden="false" customHeight="false" outlineLevel="0" collapsed="false">
      <c r="A14" s="4" t="s">
        <v>111</v>
      </c>
      <c r="B14" s="4" t="s">
        <v>104</v>
      </c>
      <c r="C14" s="4" t="s">
        <v>112</v>
      </c>
      <c r="D14" s="4" t="s">
        <v>113</v>
      </c>
      <c r="E14" s="8" t="s">
        <v>114</v>
      </c>
      <c r="F14" s="4" t="s">
        <v>115</v>
      </c>
    </row>
    <row r="15" customFormat="false" ht="15" hidden="false" customHeight="false" outlineLevel="0" collapsed="false">
      <c r="A15" s="4" t="s">
        <v>116</v>
      </c>
      <c r="B15" s="4" t="s">
        <v>104</v>
      </c>
      <c r="C15" s="4" t="s">
        <v>105</v>
      </c>
      <c r="D15" s="4" t="s">
        <v>105</v>
      </c>
      <c r="E15" s="8" t="s">
        <v>117</v>
      </c>
      <c r="F15" s="4" t="s">
        <v>107</v>
      </c>
    </row>
    <row r="16" customFormat="false" ht="15" hidden="false" customHeight="false" outlineLevel="0" collapsed="false">
      <c r="A16" s="4" t="s">
        <v>118</v>
      </c>
      <c r="B16" s="4" t="s">
        <v>104</v>
      </c>
      <c r="C16" s="8" t="s">
        <v>119</v>
      </c>
      <c r="D16" s="4" t="s">
        <v>105</v>
      </c>
      <c r="E16" s="8" t="s">
        <v>120</v>
      </c>
      <c r="F16" s="4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false" outlineLevel="0" max="4" min="4" style="0" width="26"/>
    <col collapsed="false" customWidth="true" hidden="false" outlineLevel="0" max="5" min="5" style="0" width="60"/>
  </cols>
  <sheetData>
    <row r="1" customFormat="false" ht="26.85" hidden="false" customHeight="false" outlineLevel="0" collapsed="false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</row>
    <row r="2" customFormat="false" ht="15" hidden="false" customHeight="false" outlineLevel="0" collapsed="false">
      <c r="A2" s="4" t="s">
        <v>127</v>
      </c>
      <c r="B2" s="4" t="s">
        <v>128</v>
      </c>
      <c r="C2" s="4" t="s">
        <v>85</v>
      </c>
      <c r="D2" s="4" t="s">
        <v>129</v>
      </c>
      <c r="E2" s="4" t="s">
        <v>130</v>
      </c>
    </row>
    <row r="3" customFormat="false" ht="15" hidden="false" customHeight="false" outlineLevel="0" collapsed="false">
      <c r="A3" s="4" t="s">
        <v>131</v>
      </c>
      <c r="B3" s="4" t="s">
        <v>128</v>
      </c>
      <c r="C3" s="4" t="s">
        <v>85</v>
      </c>
      <c r="D3" s="4" t="s">
        <v>129</v>
      </c>
      <c r="E3" s="4" t="s">
        <v>132</v>
      </c>
    </row>
    <row r="4" customFormat="false" ht="15" hidden="false" customHeight="false" outlineLevel="0" collapsed="false">
      <c r="A4" s="4" t="s">
        <v>133</v>
      </c>
      <c r="B4" s="4" t="s">
        <v>84</v>
      </c>
      <c r="C4" s="4" t="s">
        <v>134</v>
      </c>
      <c r="D4" s="4" t="s">
        <v>55</v>
      </c>
      <c r="E4" s="4" t="s">
        <v>135</v>
      </c>
    </row>
    <row r="5" customFormat="false" ht="15" hidden="false" customHeight="false" outlineLevel="0" collapsed="false">
      <c r="A5" s="4" t="s">
        <v>136</v>
      </c>
      <c r="B5" s="4" t="s">
        <v>84</v>
      </c>
      <c r="C5" s="4" t="s">
        <v>134</v>
      </c>
      <c r="D5" s="4" t="s">
        <v>55</v>
      </c>
      <c r="E5" s="4" t="s">
        <v>137</v>
      </c>
    </row>
    <row r="6" customFormat="false" ht="15" hidden="false" customHeight="false" outlineLevel="0" collapsed="false">
      <c r="A6" s="4" t="s">
        <v>138</v>
      </c>
      <c r="B6" s="4" t="s">
        <v>128</v>
      </c>
      <c r="C6" s="4" t="s">
        <v>85</v>
      </c>
      <c r="D6" s="4" t="s">
        <v>55</v>
      </c>
      <c r="E6" s="4" t="s">
        <v>139</v>
      </c>
    </row>
    <row r="7" customFormat="false" ht="23.85" hidden="false" customHeight="false" outlineLevel="0" collapsed="false">
      <c r="A7" s="4" t="s">
        <v>140</v>
      </c>
      <c r="B7" s="4" t="s">
        <v>85</v>
      </c>
      <c r="C7" s="4" t="s">
        <v>128</v>
      </c>
      <c r="D7" s="4" t="s">
        <v>141</v>
      </c>
      <c r="E7" s="4" t="s">
        <v>142</v>
      </c>
    </row>
    <row r="8" customFormat="false" ht="15" hidden="false" customHeight="false" outlineLevel="0" collapsed="false">
      <c r="A8" s="4" t="s">
        <v>143</v>
      </c>
      <c r="B8" s="4" t="s">
        <v>85</v>
      </c>
      <c r="C8" s="4" t="s">
        <v>128</v>
      </c>
      <c r="D8" s="4" t="s">
        <v>55</v>
      </c>
      <c r="E8" s="4" t="s">
        <v>144</v>
      </c>
    </row>
    <row r="9" customFormat="false" ht="15" hidden="false" customHeight="false" outlineLevel="0" collapsed="false">
      <c r="A9" s="4" t="s">
        <v>145</v>
      </c>
      <c r="B9" s="4" t="s">
        <v>84</v>
      </c>
      <c r="C9" s="4" t="s">
        <v>134</v>
      </c>
      <c r="D9" s="4" t="s">
        <v>146</v>
      </c>
      <c r="E9" s="4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6" min="5" style="0" width="20"/>
    <col collapsed="false" customWidth="true" hidden="false" outlineLevel="0" max="7" min="7" style="0" width="18"/>
  </cols>
  <sheetData>
    <row r="1" customFormat="false" ht="26.85" hidden="false" customHeight="false" outlineLevel="0" collapsed="false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</row>
    <row r="2" customFormat="false" ht="15" hidden="false" customHeight="false" outlineLevel="0" collapsed="false">
      <c r="A2" s="10" t="s">
        <v>155</v>
      </c>
      <c r="B2" s="11" t="s">
        <v>156</v>
      </c>
      <c r="C2" s="12" t="s">
        <v>157</v>
      </c>
      <c r="D2" s="13" t="s">
        <v>158</v>
      </c>
      <c r="E2" s="12" t="s">
        <v>157</v>
      </c>
      <c r="F2" s="13" t="s">
        <v>158</v>
      </c>
      <c r="G2" s="13" t="s">
        <v>158</v>
      </c>
    </row>
    <row r="3" customFormat="false" ht="15" hidden="false" customHeight="false" outlineLevel="0" collapsed="false">
      <c r="A3" s="10" t="s">
        <v>159</v>
      </c>
      <c r="B3" s="12" t="s">
        <v>157</v>
      </c>
      <c r="C3" s="14" t="s">
        <v>160</v>
      </c>
      <c r="D3" s="13" t="s">
        <v>158</v>
      </c>
      <c r="E3" s="12" t="s">
        <v>157</v>
      </c>
      <c r="F3" s="13" t="s">
        <v>158</v>
      </c>
      <c r="G3" s="13" t="s">
        <v>158</v>
      </c>
    </row>
    <row r="4" customFormat="false" ht="15" hidden="false" customHeight="false" outlineLevel="0" collapsed="false">
      <c r="A4" s="10" t="s">
        <v>161</v>
      </c>
      <c r="B4" s="11" t="s">
        <v>156</v>
      </c>
      <c r="C4" s="14" t="s">
        <v>160</v>
      </c>
      <c r="D4" s="12" t="s">
        <v>157</v>
      </c>
      <c r="E4" s="12" t="s">
        <v>157</v>
      </c>
      <c r="F4" s="13" t="s">
        <v>158</v>
      </c>
      <c r="G4" s="13" t="s">
        <v>158</v>
      </c>
    </row>
    <row r="5" customFormat="false" ht="15" hidden="false" customHeight="false" outlineLevel="0" collapsed="false">
      <c r="A5" s="10" t="s">
        <v>162</v>
      </c>
      <c r="B5" s="11" t="s">
        <v>156</v>
      </c>
      <c r="C5" s="12" t="s">
        <v>157</v>
      </c>
      <c r="D5" s="13" t="s">
        <v>158</v>
      </c>
      <c r="E5" s="12" t="s">
        <v>157</v>
      </c>
      <c r="F5" s="14" t="s">
        <v>160</v>
      </c>
      <c r="G5" s="12" t="s">
        <v>157</v>
      </c>
    </row>
    <row r="6" customFormat="false" ht="15" hidden="false" customHeight="false" outlineLevel="0" collapsed="false">
      <c r="A6" s="10" t="s">
        <v>163</v>
      </c>
      <c r="B6" s="11" t="s">
        <v>156</v>
      </c>
      <c r="C6" s="14" t="s">
        <v>160</v>
      </c>
      <c r="D6" s="12" t="s">
        <v>157</v>
      </c>
      <c r="E6" s="12" t="s">
        <v>157</v>
      </c>
      <c r="F6" s="13" t="s">
        <v>158</v>
      </c>
      <c r="G6" s="12" t="s">
        <v>157</v>
      </c>
    </row>
    <row r="7" customFormat="false" ht="15" hidden="false" customHeight="false" outlineLevel="0" collapsed="false">
      <c r="A7" s="10" t="s">
        <v>164</v>
      </c>
      <c r="B7" s="14" t="s">
        <v>160</v>
      </c>
      <c r="C7" s="13" t="s">
        <v>158</v>
      </c>
      <c r="D7" s="12" t="s">
        <v>157</v>
      </c>
      <c r="E7" s="13" t="s">
        <v>158</v>
      </c>
      <c r="F7" s="13" t="s">
        <v>158</v>
      </c>
      <c r="G7" s="11" t="s">
        <v>156</v>
      </c>
    </row>
    <row r="8" customFormat="false" ht="15" hidden="false" customHeight="false" outlineLevel="0" collapsed="false">
      <c r="A8" s="10" t="s">
        <v>165</v>
      </c>
      <c r="B8" s="11" t="s">
        <v>156</v>
      </c>
      <c r="C8" s="12" t="s">
        <v>157</v>
      </c>
      <c r="D8" s="13" t="s">
        <v>158</v>
      </c>
      <c r="E8" s="13" t="s">
        <v>158</v>
      </c>
      <c r="F8" s="12" t="s">
        <v>157</v>
      </c>
      <c r="G8" s="13" t="s">
        <v>158</v>
      </c>
    </row>
    <row r="10" customFormat="false" ht="15" hidden="false" customHeight="false" outlineLevel="0" collapsed="false">
      <c r="A10" s="15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5" min="5" style="0" width="24"/>
  </cols>
  <sheetData>
    <row r="1" customFormat="false" ht="26.85" hidden="false" customHeight="false" outlineLevel="0" collapsed="false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</row>
    <row r="2" customFormat="false" ht="15" hidden="false" customHeight="false" outlineLevel="0" collapsed="false">
      <c r="A2" s="4" t="s">
        <v>172</v>
      </c>
      <c r="B2" s="4" t="n">
        <v>9</v>
      </c>
      <c r="C2" s="4" t="n">
        <v>9</v>
      </c>
      <c r="D2" s="4" t="s">
        <v>173</v>
      </c>
      <c r="E2" s="4" t="s">
        <v>174</v>
      </c>
    </row>
    <row r="3" customFormat="false" ht="15" hidden="false" customHeight="false" outlineLevel="0" collapsed="false">
      <c r="A3" s="4" t="s">
        <v>175</v>
      </c>
      <c r="B3" s="4" t="n">
        <v>8</v>
      </c>
      <c r="C3" s="4" t="n">
        <v>9</v>
      </c>
      <c r="D3" s="4" t="s">
        <v>173</v>
      </c>
      <c r="E3" s="4" t="s">
        <v>176</v>
      </c>
    </row>
    <row r="4" customFormat="false" ht="15" hidden="false" customHeight="false" outlineLevel="0" collapsed="false">
      <c r="A4" s="4" t="s">
        <v>177</v>
      </c>
      <c r="B4" s="4" t="n">
        <v>3</v>
      </c>
      <c r="C4" s="4" t="n">
        <v>9</v>
      </c>
      <c r="D4" s="4" t="s">
        <v>178</v>
      </c>
      <c r="E4" s="4" t="s">
        <v>179</v>
      </c>
    </row>
    <row r="5" customFormat="false" ht="15" hidden="false" customHeight="false" outlineLevel="0" collapsed="false">
      <c r="A5" s="4" t="s">
        <v>180</v>
      </c>
      <c r="B5" s="4" t="n">
        <v>4</v>
      </c>
      <c r="C5" s="4" t="n">
        <v>4</v>
      </c>
      <c r="D5" s="4" t="s">
        <v>181</v>
      </c>
      <c r="E5" s="4" t="s">
        <v>182</v>
      </c>
    </row>
    <row r="6" customFormat="false" ht="15" hidden="false" customHeight="false" outlineLevel="0" collapsed="false">
      <c r="A6" s="4" t="s">
        <v>183</v>
      </c>
      <c r="B6" s="4" t="n">
        <v>3</v>
      </c>
      <c r="C6" s="4" t="n">
        <v>8</v>
      </c>
      <c r="D6" s="4" t="s">
        <v>178</v>
      </c>
      <c r="E6" s="4" t="s">
        <v>184</v>
      </c>
    </row>
    <row r="7" customFormat="false" ht="15" hidden="false" customHeight="false" outlineLevel="0" collapsed="false">
      <c r="A7" s="4" t="s">
        <v>185</v>
      </c>
      <c r="B7" s="4" t="n">
        <v>7</v>
      </c>
      <c r="C7" s="4" t="n">
        <v>5</v>
      </c>
      <c r="D7" s="4" t="s">
        <v>186</v>
      </c>
      <c r="E7" s="4" t="s">
        <v>187</v>
      </c>
    </row>
    <row r="8" customFormat="false" ht="15" hidden="false" customHeight="false" outlineLevel="0" collapsed="false">
      <c r="A8" s="4" t="s">
        <v>188</v>
      </c>
      <c r="B8" s="4" t="s">
        <v>189</v>
      </c>
      <c r="C8" s="4" t="n">
        <v>8</v>
      </c>
      <c r="D8" s="4" t="s">
        <v>190</v>
      </c>
      <c r="E8" s="4" t="s">
        <v>191</v>
      </c>
    </row>
    <row r="9" customFormat="false" ht="15" hidden="false" customHeight="false" outlineLevel="0" collapsed="false">
      <c r="A9" s="4" t="s">
        <v>192</v>
      </c>
      <c r="B9" s="4" t="n">
        <v>6</v>
      </c>
      <c r="C9" s="4" t="n">
        <v>6</v>
      </c>
      <c r="D9" s="4" t="s">
        <v>193</v>
      </c>
      <c r="E9" s="4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22"/>
    <col collapsed="false" customWidth="true" hidden="false" outlineLevel="0" max="5" min="5" style="0" width="24"/>
    <col collapsed="false" customWidth="true" hidden="false" outlineLevel="0" max="6" min="6" style="0" width="36"/>
  </cols>
  <sheetData>
    <row r="1" customFormat="false" ht="15" hidden="false" customHeight="false" outlineLevel="0" collapsed="false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</row>
    <row r="2" customFormat="false" ht="15" hidden="false" customHeight="false" outlineLevel="0" collapsed="false">
      <c r="A2" s="4" t="s">
        <v>201</v>
      </c>
      <c r="B2" s="4" t="s">
        <v>202</v>
      </c>
      <c r="C2" s="4" t="s">
        <v>202</v>
      </c>
      <c r="D2" s="4" t="s">
        <v>203</v>
      </c>
      <c r="E2" s="4" t="s">
        <v>204</v>
      </c>
      <c r="F2" s="4" t="s">
        <v>205</v>
      </c>
    </row>
    <row r="3" customFormat="false" ht="15" hidden="false" customHeight="false" outlineLevel="0" collapsed="false">
      <c r="A3" s="4" t="s">
        <v>206</v>
      </c>
      <c r="B3" s="4" t="s">
        <v>202</v>
      </c>
      <c r="C3" s="4" t="s">
        <v>202</v>
      </c>
      <c r="D3" s="4" t="s">
        <v>202</v>
      </c>
      <c r="E3" s="4" t="s">
        <v>207</v>
      </c>
      <c r="F3" s="4" t="s">
        <v>208</v>
      </c>
    </row>
    <row r="4" customFormat="false" ht="15" hidden="false" customHeight="false" outlineLevel="0" collapsed="false">
      <c r="A4" s="4" t="s">
        <v>27</v>
      </c>
      <c r="B4" s="4" t="s">
        <v>202</v>
      </c>
      <c r="C4" s="4" t="s">
        <v>202</v>
      </c>
      <c r="D4" s="4" t="s">
        <v>202</v>
      </c>
      <c r="E4" s="4" t="s">
        <v>209</v>
      </c>
      <c r="F4" s="4" t="s">
        <v>210</v>
      </c>
    </row>
    <row r="5" customFormat="false" ht="15" hidden="false" customHeight="false" outlineLevel="0" collapsed="false">
      <c r="A5" s="4" t="s">
        <v>32</v>
      </c>
      <c r="B5" s="4" t="s">
        <v>202</v>
      </c>
      <c r="C5" s="4" t="s">
        <v>202</v>
      </c>
      <c r="D5" s="4" t="s">
        <v>202</v>
      </c>
      <c r="E5" s="4" t="s">
        <v>211</v>
      </c>
      <c r="F5" s="4" t="s">
        <v>212</v>
      </c>
    </row>
    <row r="6" customFormat="false" ht="15" hidden="false" customHeight="false" outlineLevel="0" collapsed="false">
      <c r="A6" s="4" t="s">
        <v>36</v>
      </c>
      <c r="B6" s="4" t="s">
        <v>202</v>
      </c>
      <c r="C6" s="4" t="s">
        <v>202</v>
      </c>
      <c r="D6" s="4" t="s">
        <v>202</v>
      </c>
      <c r="E6" s="4" t="s">
        <v>213</v>
      </c>
      <c r="F6" s="4" t="s">
        <v>214</v>
      </c>
    </row>
    <row r="7" customFormat="false" ht="15" hidden="false" customHeight="false" outlineLevel="0" collapsed="false">
      <c r="A7" s="4" t="s">
        <v>46</v>
      </c>
      <c r="B7" s="4" t="s">
        <v>215</v>
      </c>
      <c r="C7" s="4" t="s">
        <v>105</v>
      </c>
      <c r="D7" s="4" t="s">
        <v>105</v>
      </c>
      <c r="E7" s="4" t="s">
        <v>216</v>
      </c>
      <c r="F7" s="4" t="s">
        <v>217</v>
      </c>
    </row>
    <row r="8" customFormat="false" ht="15" hidden="false" customHeight="false" outlineLevel="0" collapsed="false">
      <c r="A8" s="4" t="s">
        <v>40</v>
      </c>
      <c r="B8" s="4" t="s">
        <v>105</v>
      </c>
      <c r="C8" s="4" t="s">
        <v>218</v>
      </c>
      <c r="D8" s="4" t="s">
        <v>202</v>
      </c>
      <c r="E8" s="4" t="s">
        <v>219</v>
      </c>
      <c r="F8" s="4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</row>
    <row r="2" customFormat="false" ht="15" hidden="false" customHeight="false" outlineLevel="0" collapsed="false">
      <c r="A2" s="4" t="s">
        <v>226</v>
      </c>
      <c r="B2" s="4" t="s">
        <v>227</v>
      </c>
      <c r="C2" s="4" t="s">
        <v>228</v>
      </c>
      <c r="D2" s="4" t="s">
        <v>229</v>
      </c>
      <c r="E2" s="4" t="s">
        <v>230</v>
      </c>
    </row>
    <row r="3" customFormat="false" ht="15" hidden="false" customHeight="false" outlineLevel="0" collapsed="false">
      <c r="A3" s="4" t="s">
        <v>231</v>
      </c>
      <c r="B3" s="4" t="s">
        <v>232</v>
      </c>
      <c r="C3" s="4" t="s">
        <v>233</v>
      </c>
      <c r="D3" s="4" t="s">
        <v>234</v>
      </c>
      <c r="E3" s="4" t="s">
        <v>230</v>
      </c>
    </row>
    <row r="4" customFormat="false" ht="15" hidden="false" customHeight="false" outlineLevel="0" collapsed="false">
      <c r="A4" s="4" t="s">
        <v>235</v>
      </c>
      <c r="B4" s="4" t="s">
        <v>236</v>
      </c>
      <c r="C4" s="4" t="s">
        <v>237</v>
      </c>
      <c r="D4" s="4" t="s">
        <v>238</v>
      </c>
      <c r="E4" s="4" t="s">
        <v>230</v>
      </c>
    </row>
    <row r="5" customFormat="false" ht="15" hidden="false" customHeight="false" outlineLevel="0" collapsed="false">
      <c r="A5" s="4" t="s">
        <v>239</v>
      </c>
      <c r="B5" s="4" t="s">
        <v>240</v>
      </c>
      <c r="C5" s="4" t="s">
        <v>241</v>
      </c>
      <c r="D5" s="4" t="s">
        <v>242</v>
      </c>
      <c r="E5" s="4" t="s">
        <v>230</v>
      </c>
    </row>
    <row r="6" customFormat="false" ht="23.85" hidden="false" customHeight="false" outlineLevel="0" collapsed="false">
      <c r="A6" s="4" t="s">
        <v>243</v>
      </c>
      <c r="B6" s="4" t="s">
        <v>244</v>
      </c>
      <c r="C6" s="4" t="s">
        <v>245</v>
      </c>
      <c r="D6" s="4" t="s">
        <v>246</v>
      </c>
      <c r="E6" s="4" t="s">
        <v>230</v>
      </c>
    </row>
    <row r="7" customFormat="false" ht="15" hidden="false" customHeight="false" outlineLevel="0" collapsed="false">
      <c r="A7" s="4" t="s">
        <v>247</v>
      </c>
      <c r="B7" s="4" t="s">
        <v>248</v>
      </c>
      <c r="C7" s="4" t="s">
        <v>249</v>
      </c>
      <c r="D7" s="4" t="s">
        <v>250</v>
      </c>
      <c r="E7" s="4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36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251</v>
      </c>
      <c r="B1" s="1" t="s">
        <v>252</v>
      </c>
      <c r="C1" s="1" t="s">
        <v>253</v>
      </c>
      <c r="D1" s="1" t="s">
        <v>254</v>
      </c>
    </row>
    <row r="2" customFormat="false" ht="15" hidden="false" customHeight="false" outlineLevel="0" collapsed="false">
      <c r="A2" s="4" t="s">
        <v>255</v>
      </c>
      <c r="B2" s="4" t="s">
        <v>256</v>
      </c>
      <c r="C2" s="4" t="s">
        <v>257</v>
      </c>
      <c r="D2" s="4" t="n">
        <v>17</v>
      </c>
    </row>
    <row r="3" customFormat="false" ht="15" hidden="false" customHeight="false" outlineLevel="0" collapsed="false">
      <c r="A3" s="4" t="s">
        <v>258</v>
      </c>
      <c r="B3" s="4" t="s">
        <v>259</v>
      </c>
      <c r="C3" s="4" t="s">
        <v>260</v>
      </c>
      <c r="D3" s="4"/>
    </row>
    <row r="4" customFormat="false" ht="15" hidden="false" customHeight="false" outlineLevel="0" collapsed="false">
      <c r="A4" s="4" t="s">
        <v>261</v>
      </c>
      <c r="B4" s="4" t="s">
        <v>262</v>
      </c>
      <c r="C4" s="4" t="s">
        <v>260</v>
      </c>
      <c r="D4" s="4"/>
    </row>
    <row r="5" customFormat="false" ht="15" hidden="false" customHeight="false" outlineLevel="0" collapsed="false">
      <c r="A5" s="4" t="s">
        <v>263</v>
      </c>
      <c r="B5" s="4" t="s">
        <v>264</v>
      </c>
      <c r="C5" s="4" t="s">
        <v>265</v>
      </c>
      <c r="D5" s="4" t="n">
        <v>18</v>
      </c>
    </row>
    <row r="6" customFormat="false" ht="15" hidden="false" customHeight="false" outlineLevel="0" collapsed="false">
      <c r="A6" s="4" t="s">
        <v>266</v>
      </c>
      <c r="B6" s="4" t="s">
        <v>267</v>
      </c>
      <c r="C6" s="4" t="s">
        <v>265</v>
      </c>
      <c r="D6" s="4" t="n">
        <v>19</v>
      </c>
    </row>
    <row r="7" customFormat="false" ht="15" hidden="false" customHeight="false" outlineLevel="0" collapsed="false">
      <c r="A7" s="4" t="s">
        <v>268</v>
      </c>
      <c r="B7" s="4" t="s">
        <v>269</v>
      </c>
      <c r="C7" s="4" t="s">
        <v>270</v>
      </c>
      <c r="D7" s="4" t="n">
        <v>12</v>
      </c>
    </row>
    <row r="8" customFormat="false" ht="15" hidden="false" customHeight="false" outlineLevel="0" collapsed="false">
      <c r="A8" s="4" t="s">
        <v>271</v>
      </c>
      <c r="B8" s="4" t="s">
        <v>272</v>
      </c>
      <c r="C8" s="4" t="s">
        <v>273</v>
      </c>
      <c r="D8" s="4" t="n">
        <v>22</v>
      </c>
    </row>
    <row r="9" customFormat="false" ht="15" hidden="false" customHeight="false" outlineLevel="0" collapsed="false">
      <c r="A9" s="4" t="s">
        <v>274</v>
      </c>
      <c r="B9" s="4" t="s">
        <v>275</v>
      </c>
      <c r="C9" s="4" t="s">
        <v>276</v>
      </c>
      <c r="D9" s="4" t="n">
        <v>24</v>
      </c>
    </row>
    <row r="10" customFormat="false" ht="15" hidden="false" customHeight="false" outlineLevel="0" collapsed="false">
      <c r="A10" s="4" t="s">
        <v>277</v>
      </c>
      <c r="B10" s="4" t="s">
        <v>278</v>
      </c>
      <c r="C10" s="4" t="s">
        <v>279</v>
      </c>
      <c r="D10" s="4" t="n">
        <v>23</v>
      </c>
    </row>
    <row r="11" customFormat="false" ht="15" hidden="false" customHeight="false" outlineLevel="0" collapsed="false">
      <c r="A11" s="4" t="s">
        <v>280</v>
      </c>
      <c r="B11" s="4" t="s">
        <v>281</v>
      </c>
      <c r="C11" s="4" t="s">
        <v>282</v>
      </c>
      <c r="D11" s="4" t="n">
        <v>26</v>
      </c>
    </row>
    <row r="12" customFormat="false" ht="15" hidden="false" customHeight="false" outlineLevel="0" collapsed="false">
      <c r="A12" s="4" t="s">
        <v>283</v>
      </c>
      <c r="B12" s="4" t="s">
        <v>284</v>
      </c>
      <c r="C12" s="4" t="s">
        <v>285</v>
      </c>
      <c r="D12" s="4"/>
    </row>
    <row r="13" customFormat="false" ht="15" hidden="false" customHeight="false" outlineLevel="0" collapsed="false">
      <c r="A13" s="4" t="s">
        <v>286</v>
      </c>
      <c r="B13" s="4" t="s">
        <v>287</v>
      </c>
      <c r="C13" s="4" t="s">
        <v>288</v>
      </c>
      <c r="D13" s="4"/>
    </row>
    <row r="14" customFormat="false" ht="15" hidden="false" customHeight="false" outlineLevel="0" collapsed="false">
      <c r="A14" s="4" t="s">
        <v>289</v>
      </c>
      <c r="B14" s="4" t="s">
        <v>100</v>
      </c>
      <c r="C14" s="4" t="s">
        <v>288</v>
      </c>
      <c r="D14" s="4"/>
    </row>
    <row r="15" customFormat="false" ht="15" hidden="false" customHeight="false" outlineLevel="0" collapsed="false">
      <c r="A15" s="4" t="s">
        <v>290</v>
      </c>
      <c r="B15" s="4" t="s">
        <v>291</v>
      </c>
      <c r="C15" s="4" t="s">
        <v>292</v>
      </c>
      <c r="D15" s="4" t="n">
        <v>29</v>
      </c>
    </row>
    <row r="16" customFormat="false" ht="15" hidden="false" customHeight="false" outlineLevel="0" collapsed="false">
      <c r="A16" s="4" t="s">
        <v>293</v>
      </c>
      <c r="B16" s="4" t="s">
        <v>294</v>
      </c>
      <c r="C16" s="4" t="s">
        <v>295</v>
      </c>
      <c r="D16" s="4" t="n">
        <v>35</v>
      </c>
    </row>
    <row r="17" customFormat="false" ht="15" hidden="false" customHeight="false" outlineLevel="0" collapsed="false">
      <c r="A17" s="4" t="s">
        <v>296</v>
      </c>
      <c r="B17" s="4" t="s">
        <v>297</v>
      </c>
      <c r="C17" s="4" t="s">
        <v>298</v>
      </c>
      <c r="D17" s="4" t="n">
        <v>21</v>
      </c>
    </row>
    <row r="18" customFormat="false" ht="15" hidden="false" customHeight="false" outlineLevel="0" collapsed="false">
      <c r="A18" s="4" t="s">
        <v>299</v>
      </c>
      <c r="B18" s="4" t="s">
        <v>300</v>
      </c>
      <c r="C18" s="4" t="s">
        <v>301</v>
      </c>
      <c r="D18" s="4" t="n">
        <v>20</v>
      </c>
    </row>
    <row r="19" customFormat="false" ht="15" hidden="false" customHeight="false" outlineLevel="0" collapsed="false">
      <c r="A19" s="4" t="s">
        <v>302</v>
      </c>
      <c r="B19" s="4" t="s">
        <v>303</v>
      </c>
      <c r="C19" s="4" t="s">
        <v>304</v>
      </c>
      <c r="D19" s="4" t="n">
        <v>1</v>
      </c>
    </row>
    <row r="20" customFormat="false" ht="15" hidden="false" customHeight="false" outlineLevel="0" collapsed="false">
      <c r="A20" s="4" t="s">
        <v>305</v>
      </c>
      <c r="B20" s="4" t="s">
        <v>306</v>
      </c>
      <c r="C20" s="4" t="s">
        <v>307</v>
      </c>
      <c r="D20" s="4" t="n">
        <v>37</v>
      </c>
    </row>
    <row r="21" customFormat="false" ht="15" hidden="false" customHeight="false" outlineLevel="0" collapsed="false">
      <c r="A21" s="4" t="s">
        <v>308</v>
      </c>
      <c r="B21" s="4" t="s">
        <v>309</v>
      </c>
      <c r="C21" s="4" t="s">
        <v>310</v>
      </c>
      <c r="D21" s="4" t="n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2026-04-05T13:36:39Z</dcterms:created>
  <dc:creator>openpyxl</dc:creator>
  <dc:description/>
  <dc:language>en-US</dc:language>
  <cp:lastModifiedBy/>
  <dcterms:modified xsi:type="dcterms:W3CDTF">2026-04-05T13:36:40Z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