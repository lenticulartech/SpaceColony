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15.xml" ContentType="application/vnd.openxmlformats-officedocument.spreadsheetml.comments+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1.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comments14.xml" ContentType="application/vnd.openxmlformats-officedocument.spreadsheetml.comments+xml"/>
  <Override PartName="/xl/_rels/workbook.xml.rels" ContentType="application/vnd.openxmlformats-package.relationships+xml"/>
  <Override PartName="/xl/comments1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IDENCE_TABLE" sheetId="1" state="visible" r:id="rId3"/>
    <sheet name="README" sheetId="2" state="visible" r:id="rId4"/>
    <sheet name="DATA_DICTIONARY" sheetId="3" state="visible" r:id="rId5"/>
    <sheet name="GEMINI_PROMPTS" sheetId="4" state="visible" r:id="rId6"/>
    <sheet name="SOURCE_REGISTRY" sheetId="5" state="visible" r:id="rId7"/>
    <sheet name="RAW_Transport_Cost" sheetId="6" state="visible" r:id="rId8"/>
    <sheet name="RAW_Operating_Cost" sheetId="7" state="visible" r:id="rId9"/>
    <sheet name="RAW_ECLSS" sheetId="8" state="visible" r:id="rId10"/>
    <sheet name="RAW_Radiation" sheetId="9" state="visible" r:id="rId11"/>
    <sheet name="RAW_Gravity" sheetId="10" state="visible" r:id="rId12"/>
    <sheet name="RAW_Comms_Latency" sheetId="11" state="visible" r:id="rId13"/>
    <sheet name="RAW_ISRU" sheetId="12" state="visible" r:id="rId14"/>
    <sheet name="RAW_Energy" sheetId="13" state="visible" r:id="rId15"/>
    <sheet name="RAW_Failure_Cost" sheetId="14" state="visible" r:id="rId16"/>
    <sheet name="RAW_Revenue" sheetId="15" state="visible" r:id="rId17"/>
    <sheet name="NORM_ENGINE" sheetId="16" state="visible" r:id="rId18"/>
    <sheet name="SCORING_MATRIX" sheetId="17" state="visible" r:id="rId19"/>
    <sheet name="QUAL_JUSTIFICATIONS" sheetId="18" state="visible" r:id="rId20"/>
  </sheets>
  <definedNames>
    <definedName function="false" hidden="true" localSheetId="0" name="_xlnm._FilterDatabase" vbProcedure="false">EVIDENCE_TABLE!$A$1:$P$102</definedName>
  </definedNames>
  <calcPr iterateCount="100" refMode="A1" iterate="false" iterateDelta="0.0001"/>
  <extLst>
    <ext xmlns:loext="http://schemas.libreoffice.org/" uri="{7626C862-2A13-11E5-B345-FEFF819CDC9F}">
      <loext:extCalcPr stringRefSyntax="ExcelA1"/>
    </ext>
  </extLst>
</workbook>
</file>

<file path=xl/comments14.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Estimated annual failure probability. Based on historical spaceflight statistics and risk profile of mission type. Adjustable as better data becomes available.</t>
        </r>
      </text>
    </comment>
    <comment ref="F1" authorId="0">
      <text>
        <r>
          <rPr>
            <sz val="10"/>
            <rFont val="Arial"/>
            <family val="2"/>
          </rPr>
          <t xml:space="preserve">Expected Value = Estimated Cost x Annual Probability. This is the standard enterprise risk metric.</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Baseline = Existing+Emerging revenue (used in scoring). Upside = Speculative (shown as sensitivity).</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F2" authorId="0">
      <text>
        <r>
          <rPr>
            <sz val="10"/>
            <rFont val="Arial"/>
            <family val="2"/>
          </rPr>
          <t xml:space="preserve">MIN of Lunar_Surface costs. Only 1 row.</t>
        </r>
      </text>
    </comment>
    <comment ref="F3" authorId="0">
      <text>
        <r>
          <rPr>
            <sz val="10"/>
            <rFont val="Arial"/>
            <family val="2"/>
          </rPr>
          <t xml:space="preserve">Lunar_Surface: only 1 row</t>
        </r>
      </text>
    </comment>
    <comment ref="F6" authorId="0">
      <text>
        <r>
          <rPr>
            <sz val="10"/>
            <rFont val="Arial"/>
            <family val="2"/>
          </rPr>
          <t xml:space="preserve">Best shielded dose: Lunar_Surface rows</t>
        </r>
      </text>
    </comment>
    <comment ref="F9" authorId="0">
      <text>
        <r>
          <rPr>
            <sz val="10"/>
            <rFont val="Arial"/>
            <family val="2"/>
          </rPr>
          <t xml:space="preserve">TRL-weighted sum: production * (TRL/9)</t>
        </r>
      </text>
    </comment>
    <comment ref="F10" authorId="0">
      <text>
        <r>
          <rPr>
            <sz val="10"/>
            <rFont val="Arial"/>
            <family val="2"/>
          </rPr>
          <t xml:space="preserve">MAX specific power * ~50% lunar solar duty cycle</t>
        </r>
      </text>
    </comment>
    <comment ref="F11" authorId="0">
      <text>
        <r>
          <rPr>
            <sz val="10"/>
            <rFont val="Arial"/>
            <family val="2"/>
          </rPr>
          <t xml:space="preserve">Worst case: Lunar_Orbit + Lunar_Surface</t>
        </r>
      </text>
    </comment>
    <comment ref="G2" authorId="0">
      <text>
        <r>
          <rPr>
            <sz val="10"/>
            <rFont val="Arial"/>
            <family val="2"/>
          </rPr>
          <t xml:space="preserve">MIN of Mars_Surface costs. Only 1 row.</t>
        </r>
      </text>
    </comment>
    <comment ref="G3" authorId="0">
      <text>
        <r>
          <rPr>
            <sz val="10"/>
            <rFont val="Arial"/>
            <family val="2"/>
          </rPr>
          <t xml:space="preserve">Mars_Surface: only 1 row</t>
        </r>
      </text>
    </comment>
    <comment ref="G6" authorId="0">
      <text>
        <r>
          <rPr>
            <sz val="10"/>
            <rFont val="Arial"/>
            <family val="2"/>
          </rPr>
          <t xml:space="preserve">Best shielded dose: Mars_Surface rows</t>
        </r>
      </text>
    </comment>
    <comment ref="G9" authorId="0">
      <text>
        <r>
          <rPr>
            <sz val="10"/>
            <rFont val="Arial"/>
            <family val="2"/>
          </rPr>
          <t xml:space="preserve">TRL-weighted sum: production * (TRL/9)</t>
        </r>
      </text>
    </comment>
    <comment ref="G10" authorId="0">
      <text>
        <r>
          <rPr>
            <sz val="10"/>
            <rFont val="Arial"/>
            <family val="2"/>
          </rPr>
          <t xml:space="preserve">MAX specific power * ~43% Mars solar (distance + dust)</t>
        </r>
      </text>
    </comment>
    <comment ref="G11" authorId="0">
      <text>
        <r>
          <rPr>
            <sz val="10"/>
            <rFont val="Arial"/>
            <family val="2"/>
          </rPr>
          <t xml:space="preserve">Worst case: Mars_Transit + Mars_Surface</t>
        </r>
      </text>
    </comment>
    <comment ref="H2" authorId="0">
      <text>
        <r>
          <rPr>
            <sz val="10"/>
            <rFont val="Arial"/>
            <family val="2"/>
          </rPr>
          <t xml:space="preserve">MIN of all LEO transport costs</t>
        </r>
      </text>
    </comment>
    <comment ref="H3" authorId="0">
      <text>
        <r>
          <rPr>
            <sz val="10"/>
            <rFont val="Arial"/>
            <family val="2"/>
          </rPr>
          <t xml:space="preserve">MIN per-capita across all LEO stations</t>
        </r>
      </text>
    </comment>
    <comment ref="H6" authorId="0">
      <text>
        <r>
          <rPr>
            <sz val="10"/>
            <rFont val="Arial"/>
            <family val="2"/>
          </rPr>
          <t xml:space="preserve">Orbital: only 1 row</t>
        </r>
      </text>
    </comment>
    <comment ref="H10" authorId="0">
      <text>
        <r>
          <rPr>
            <sz val="10"/>
            <rFont val="Arial"/>
            <family val="2"/>
          </rPr>
          <t xml:space="preserve">MAX specific power * ~100% orbital solar availability</t>
        </r>
      </text>
    </comment>
    <comment ref="H11" authorId="0">
      <text>
        <r>
          <rPr>
            <sz val="10"/>
            <rFont val="Arial"/>
            <family val="2"/>
          </rPr>
          <t xml:space="preserve">Worst case: LEO + Orbital rows</t>
        </r>
      </text>
    </comment>
  </commentList>
</comments>
</file>

<file path=xl/sharedStrings.xml><?xml version="1.0" encoding="utf-8"?>
<sst xmlns="http://schemas.openxmlformats.org/spreadsheetml/2006/main" count="2674" uniqueCount="1069">
  <si>
    <t xml:space="preserve">Requirement</t>
  </si>
  <si>
    <t xml:space="preserve">Tier</t>
  </si>
  <si>
    <t xml:space="preserve">MoSCoW</t>
  </si>
  <si>
    <t xml:space="preserve">Weight</t>
  </si>
  <si>
    <t xml:space="preserve">Kano</t>
  </si>
  <si>
    <t xml:space="preserve">Destination</t>
  </si>
  <si>
    <t xml:space="preserve">Score</t>
  </si>
  <si>
    <t xml:space="preserve">Data_Point_Description</t>
  </si>
  <si>
    <t xml:space="preserve">Value</t>
  </si>
  <si>
    <t xml:space="preserve">Unit</t>
  </si>
  <si>
    <t xml:space="preserve">Provider_or_Context</t>
  </si>
  <si>
    <t xml:space="preserve">Year</t>
  </si>
  <si>
    <t xml:space="preserve">Confidence</t>
  </si>
  <si>
    <t xml:space="preserve">Source</t>
  </si>
  <si>
    <t xml:space="preserve">Source_URL</t>
  </si>
  <si>
    <t xml:space="preserve">Score_Justification</t>
  </si>
  <si>
    <t xml:space="preserve">Gravity &gt;0.67g</t>
  </si>
  <si>
    <t xml:space="preserve">Must</t>
  </si>
  <si>
    <t xml:space="preserve">Basic</t>
  </si>
  <si>
    <t xml:space="preserve">Moon</t>
  </si>
  <si>
    <t xml:space="preserve">Native surface gravity</t>
  </si>
  <si>
    <t xml:space="preserve">g</t>
  </si>
  <si>
    <t xml:space="preserve">Measured</t>
  </si>
  <si>
    <t xml:space="preserve">Actual</t>
  </si>
  <si>
    <t xml:space="preserve">NTRS Gravity 2021</t>
  </si>
  <si>
    <t xml:space="preserve">https://ntrs.nasa.gov/api/citations/20210019591/downloads/ICES-2021-142.pdf</t>
  </si>
  <si>
    <t xml:space="preserve">0.166g far below 0.67g health threshold. Score 2: fails basic requirement, partial mitigation via centrifuge theoretically possible but unproven at scale.</t>
  </si>
  <si>
    <t xml:space="preserve">Mars</t>
  </si>
  <si>
    <t xml:space="preserve">0.378g marginal, below 0.67g threshold. Score 4: closer to threshold, mouse studies suggest partial but not full mitigation of atrophy.</t>
  </si>
  <si>
    <t xml:space="preserve">Mouse skeletal muscle study at 0.33g</t>
  </si>
  <si>
    <t xml:space="preserve">URI/Harvard/JAXA ISS study</t>
  </si>
  <si>
    <t xml:space="preserve">Universe Today / Kingston Today</t>
  </si>
  <si>
    <t xml:space="preserve">https://www.universetoday.com/articles/how-will-martian-gravity-affect-skeletal-muscle</t>
  </si>
  <si>
    <t xml:space="preserve">24 mice at 4 gravity levels: 0.33g mitigated but did not prevent muscle atrophy.</t>
  </si>
  <si>
    <t xml:space="preserve">Orbital</t>
  </si>
  <si>
    <t xml:space="preserve">O'Neill cylinder rotation</t>
  </si>
  <si>
    <t xml:space="preserve">Design parameter</t>
  </si>
  <si>
    <t xml:space="preserve">Projected</t>
  </si>
  <si>
    <t xml:space="preserve">NASA SP-413</t>
  </si>
  <si>
    <t xml:space="preserve">https://settlement.arc.nasa.gov/75SummerStudy/Table_of_Contents1.html</t>
  </si>
  <si>
    <t xml:space="preserve">Full 1g achievable via rotation at 500m+ radius. Score 9: engineering solution proven in concept, tunable.</t>
  </si>
  <si>
    <t xml:space="preserve">Stanford Torus rotation</t>
  </si>
  <si>
    <t xml:space="preserve">895m radius at 1 RPM provides 1g with minimal Coriolis effect.</t>
  </si>
  <si>
    <t xml:space="preserve">Kalpana One rotation</t>
  </si>
  <si>
    <t xml:space="preserve">Al Globus design</t>
  </si>
  <si>
    <t xml:space="preserve">Al Globus 2007</t>
  </si>
  <si>
    <t xml:space="preserve">https://settlement.arc.nasa.gov/Kalpana/KalpanaTwo.html</t>
  </si>
  <si>
    <t xml:space="preserve">250m radius at 1.9 RPM, optimized for lower mass.</t>
  </si>
  <si>
    <t xml:space="preserve">Radiation &lt;600 mSv/career</t>
  </si>
  <si>
    <t xml:space="preserve">Unshielded surface dose</t>
  </si>
  <si>
    <t xml:space="preserve">mSv/yr</t>
  </si>
  <si>
    <t xml:space="preserve">No shielding</t>
  </si>
  <si>
    <t xml:space="preserve">NASA-STD-3001</t>
  </si>
  <si>
    <t xml:space="preserve">https://www.nasa.gov/wp-content/uploads/2023/11/nasa-std-3001-vol-1-rev-c-with-signature.pdf</t>
  </si>
  <si>
    <t xml:space="preserve">Unshielded: 1.6 years to career limit.</t>
  </si>
  <si>
    <t xml:space="preserve">2m regolith shielded dose</t>
  </si>
  <si>
    <t xml:space="preserve">Regolith burial</t>
  </si>
  <si>
    <t xml:space="preserve">Estimated</t>
  </si>
  <si>
    <t xml:space="preserve">12 years to career limit with regolith. Score 6: engineering solvable but requires construction.</t>
  </si>
  <si>
    <t xml:space="preserve">Lava tube shielded dose</t>
  </si>
  <si>
    <t xml:space="preserve">Natural basalt</t>
  </si>
  <si>
    <t xml:space="preserve">60 years to limit. Best lunar option if accessible.</t>
  </si>
  <si>
    <t xml:space="preserve">Unshielded surface dose (Curiosity RAD)</t>
  </si>
  <si>
    <t xml:space="preserve">MSL/RAD instrument</t>
  </si>
  <si>
    <t xml:space="preserve">Curiosity RAD</t>
  </si>
  <si>
    <t xml:space="preserve">https://mars.nasa.gov/msl/mission/instruments/rad/</t>
  </si>
  <si>
    <t xml:space="preserve">Actual measurement on Mars surface. 2.6 years to career limit unshielded.</t>
  </si>
  <si>
    <t xml:space="preserve">1m regolith shielded dose</t>
  </si>
  <si>
    <t xml:space="preserve">Regolith + atmosphere</t>
  </si>
  <si>
    <t xml:space="preserve">6 years to limit. Atmosphere provides ~50% reduction baseline. Score 6: similar engineering challenge to Moon.</t>
  </si>
  <si>
    <t xml:space="preserve">40 years to limit. Best Mars option.</t>
  </si>
  <si>
    <t xml:space="preserve">ISS-equivalent hull (LEO)</t>
  </si>
  <si>
    <t xml:space="preserve">Aluminum hull</t>
  </si>
  <si>
    <t xml:space="preserve">4 years to limit. LEO has Van Allen belt partial protection.</t>
  </si>
  <si>
    <t xml:space="preserve">Engineered mass shielding</t>
  </si>
  <si>
    <t xml:space="preserve">Regolith/water shield</t>
  </si>
  <si>
    <t xml:space="preserve">30 years to limit. Score 5: engineering solvable but adds mass cost.</t>
  </si>
  <si>
    <t xml:space="preserve">Closed-loop ECLSS</t>
  </si>
  <si>
    <t xml:space="preserve">ISS ECLSS water recovery (current)</t>
  </si>
  <si>
    <t xml:space="preserve">%</t>
  </si>
  <si>
    <t xml:space="preserve">NASA/Boeing WRS</t>
  </si>
  <si>
    <t xml:space="preserve">NASA BVAD</t>
  </si>
  <si>
    <t xml:space="preserve">https://ntrs.nasa.gov/api/citations/20210024855/downloads/BVAD_2.15.22-final.pdf</t>
  </si>
  <si>
    <t xml:space="preserve">93% water recovery demonstrated on ISS.</t>
  </si>
  <si>
    <t xml:space="preserve">ISS ECLSS water recovery (upgraded)</t>
  </si>
  <si>
    <t xml:space="preserve">With Brine Processor</t>
  </si>
  <si>
    <t xml:space="preserve">Brine Processor addition targets 98%. Score 5: good recovery but not fully closed loop, O2 recovery lags.</t>
  </si>
  <si>
    <t xml:space="preserve">Exploration ECLSS target</t>
  </si>
  <si>
    <t xml:space="preserve">NASA Mars transit</t>
  </si>
  <si>
    <t xml:space="preserve">Target for Mars transit missions. Score 5: same tech base, not yet proven at target.</t>
  </si>
  <si>
    <t xml:space="preserve">ISS ECLSS current (proven)</t>
  </si>
  <si>
    <t xml:space="preserve">ISS operational</t>
  </si>
  <si>
    <t xml:space="preserve">Score 5: proven but same limitations as lunar application.</t>
  </si>
  <si>
    <t xml:space="preserve">MELiSSA biological loop target</t>
  </si>
  <si>
    <t xml:space="preserve">ESA research</t>
  </si>
  <si>
    <t xml:space="preserve">ESA MELiSSA</t>
  </si>
  <si>
    <t xml:space="preserve">https://www.esa.int/Enabling_Support/Space_Engineering_Technology/Melissa</t>
  </si>
  <si>
    <t xml:space="preserve">ESA closed biological loop. TRL 3, long-term research.</t>
  </si>
  <si>
    <t xml:space="preserve">Breathable atmosphere generation</t>
  </si>
  <si>
    <t xml:space="preserve">ISS O2 recovery (current)</t>
  </si>
  <si>
    <t xml:space="preserve">OGS + Sabatier</t>
  </si>
  <si>
    <t xml:space="preserve">42% O2 recovery, rest from electrolysis of stored water.</t>
  </si>
  <si>
    <t xml:space="preserve">ISS O2 recovery (upgraded)</t>
  </si>
  <si>
    <t xml:space="preserve">Improved Sabatier</t>
  </si>
  <si>
    <t xml:space="preserve">Score 4: improving but far from full closure. Lunar ISRU O2 from regolith could supplement.</t>
  </si>
  <si>
    <t xml:space="preserve">Exploration ECLSS O2 target</t>
  </si>
  <si>
    <t xml:space="preserve">Mars transit target</t>
  </si>
  <si>
    <t xml:space="preserve">Score 5: same target as upgraded ISS, plus MOXIE-derived atmospheric O2 as supplement.</t>
  </si>
  <si>
    <t xml:space="preserve">MOXIE O2 from CO2 (demonstrated)</t>
  </si>
  <si>
    <t xml:space="preserve">kg/day</t>
  </si>
  <si>
    <t xml:space="preserve">Perseverance MOXIE</t>
  </si>
  <si>
    <t xml:space="preserve">MOXIE Results</t>
  </si>
  <si>
    <t xml:space="preserve">https://www.nasa.gov/missions/mars-2020-perseverance/perseverance-rover/nasas-moxie-experiment/</t>
  </si>
  <si>
    <t xml:space="preserve">12g/hr demonstrated. Proof of concept for Mars atmospheric O2.</t>
  </si>
  <si>
    <t xml:space="preserve">ISS O2 recovery current</t>
  </si>
  <si>
    <t xml:space="preserve">Score 7: same base tech but easier resupply and MELiSSA path to 80%.</t>
  </si>
  <si>
    <t xml:space="preserve">MELiSSA O2 target</t>
  </si>
  <si>
    <t xml:space="preserve">ESA biological loop</t>
  </si>
  <si>
    <t xml:space="preserve">Biological O2 generation pathway unique to orbital.</t>
  </si>
  <si>
    <t xml:space="preserve">Emergency return path (RTO)</t>
  </si>
  <si>
    <t xml:space="preserve">Orion return time</t>
  </si>
  <si>
    <t xml:space="preserve">days</t>
  </si>
  <si>
    <t xml:space="preserve">Direct return trajectory</t>
  </si>
  <si>
    <t xml:space="preserve">NASA Artemis</t>
  </si>
  <si>
    <t xml:space="preserve">https://www.nasa.gov/artemis/</t>
  </si>
  <si>
    <t xml:space="preserve">Score 8: 3-day return proven by Apollo. Orion designed for this.</t>
  </si>
  <si>
    <t xml:space="preserve">Minimum transit to Earth</t>
  </si>
  <si>
    <t xml:space="preserve">Hohmann transfer</t>
  </si>
  <si>
    <t xml:space="preserve">NASA DRM 5.0</t>
  </si>
  <si>
    <t xml:space="preserve">https://www.nasa.gov/hrp/</t>
  </si>
  <si>
    <t xml:space="preserve">Score 1: no emergency return. 9+ months minimum, must wait for window. Crew is on their own.</t>
  </si>
  <si>
    <t xml:space="preserve">Dragon/Starliner return</t>
  </si>
  <si>
    <t xml:space="preserve">Always-docked escape</t>
  </si>
  <si>
    <t xml:space="preserve">NASA Commercial Crew</t>
  </si>
  <si>
    <t xml:space="preserve">https://www.nasa.gov/commercial-crew/</t>
  </si>
  <si>
    <t xml:space="preserve">Score 7: hours to days, proven ISS model. Escape vehicle always available.</t>
  </si>
  <si>
    <t xml:space="preserve">Supply chain resilience (RPO)</t>
  </si>
  <si>
    <t xml:space="preserve">Launch windows available</t>
  </si>
  <si>
    <t xml:space="preserve">windows/yr</t>
  </si>
  <si>
    <t xml:space="preserve">Continuous access</t>
  </si>
  <si>
    <t xml:space="preserve">General</t>
  </si>
  <si>
    <t xml:space="preserve">Various</t>
  </si>
  <si>
    <t xml:space="preserve">Score 8: can launch resupply at any time. Days to delivery.</t>
  </si>
  <si>
    <t xml:space="preserve">26-month synodic</t>
  </si>
  <si>
    <t xml:space="preserve">Score 2: one window every 26 months. Must pre-position everything.</t>
  </si>
  <si>
    <t xml:space="preserve">Launch windows available (LEO)</t>
  </si>
  <si>
    <t xml:space="preserve">Continuous cislunar</t>
  </si>
  <si>
    <t xml:space="preserve">Score 7: same as Moon but even faster delivery.</t>
  </si>
  <si>
    <t xml:space="preserve">Communications latency</t>
  </si>
  <si>
    <t xml:space="preserve">Should</t>
  </si>
  <si>
    <t xml:space="preserve">Performance</t>
  </si>
  <si>
    <t xml:space="preserve">Signal delay one-way</t>
  </si>
  <si>
    <t xml:space="preserve">seconds</t>
  </si>
  <si>
    <t xml:space="preserve">Speed of light</t>
  </si>
  <si>
    <t xml:space="preserve">Score 9: 2.6s round trip. Near real-time teleoperation possible.</t>
  </si>
  <si>
    <t xml:space="preserve">Average signal delay one-way</t>
  </si>
  <si>
    <t xml:space="preserve">Average distance</t>
  </si>
  <si>
    <t xml:space="preserve">Score 2: 3-22 min one-way. No real-time communication. Full autonomy required.</t>
  </si>
  <si>
    <t xml:space="preserve">Signal delay one-way (LEO)</t>
  </si>
  <si>
    <t xml:space="preserve">TDRSS relay</t>
  </si>
  <si>
    <t xml:space="preserve">Score 8: effectively real-time. Full ground support available.</t>
  </si>
  <si>
    <t xml:space="preserve">Behavioral health / crew sustainability</t>
  </si>
  <si>
    <t xml:space="preserve">Expert assessment: isolation and confinement</t>
  </si>
  <si>
    <t xml:space="preserve">—</t>
  </si>
  <si>
    <t xml:space="preserve">Expert consensus</t>
  </si>
  <si>
    <t xml:space="preserve">Expert</t>
  </si>
  <si>
    <t xml:space="preserve">Red Risks Study</t>
  </si>
  <si>
    <t xml:space="preserve">https://www.nature.com/articles/s41526-020-00124-6</t>
  </si>
  <si>
    <t xml:space="preserve">Score 7: 1.3s latency allows Earth contact. 2-week crew rotations feasible. Visual of Earth aids morale.</t>
  </si>
  <si>
    <t xml:space="preserve">Score 3: 4-24 min latency, 26-month isolation, extreme psychological demands. No precedent for multi-year confinement at this distance.</t>
  </si>
  <si>
    <t xml:space="preserve">Score 6: zero latency and crew rotation possible but confined environment. ISS analog data available.</t>
  </si>
  <si>
    <t xml:space="preserve">ISRU potential</t>
  </si>
  <si>
    <t xml:space="preserve">Ilmenite O2 extraction capacity</t>
  </si>
  <si>
    <t xml:space="preserve">Regolith processing</t>
  </si>
  <si>
    <t xml:space="preserve">LCROSS/NASA</t>
  </si>
  <si>
    <t xml:space="preserve">https://www.nasa.gov/mission_pages/LCROSS/main/index.html</t>
  </si>
  <si>
    <t xml:space="preserve">Oxygen from regolith, requires processing plant.</t>
  </si>
  <si>
    <t xml:space="preserve">Polar ice mining capacity</t>
  </si>
  <si>
    <t xml:space="preserve">Crater ice deposits</t>
  </si>
  <si>
    <t xml:space="preserve">LCROSS confirmed deposits. Score 7: 60 kg/day total, water + O2 achievable.</t>
  </si>
  <si>
    <t xml:space="preserve">Scaled MOXIE O2 production</t>
  </si>
  <si>
    <t xml:space="preserve">CO2 electrolysis</t>
  </si>
  <si>
    <t xml:space="preserve">Scaled from 12g/hr demo.</t>
  </si>
  <si>
    <t xml:space="preserve">Subsurface ice extraction</t>
  </si>
  <si>
    <t xml:space="preserve">SHARAD/MARSIS data</t>
  </si>
  <si>
    <t xml:space="preserve">NASA/JPL</t>
  </si>
  <si>
    <t xml:space="preserve">https://mars.nasa.gov/</t>
  </si>
  <si>
    <t xml:space="preserve">SHARAD confirmed extensive ice sheets.</t>
  </si>
  <si>
    <t xml:space="preserve">Sabatier methane production</t>
  </si>
  <si>
    <t xml:space="preserve">CO2 + H2</t>
  </si>
  <si>
    <t xml:space="preserve">Score 7: 27 kg/day total, diverse resources. Well-understood chemistry.</t>
  </si>
  <si>
    <t xml:space="preserve">No natural ISRU resources</t>
  </si>
  <si>
    <t xml:space="preserve">No resources in orbit</t>
  </si>
  <si>
    <t xml:space="preserve">Score 3: zero ISRU. Fully dependent on Earth resupply or imported material.</t>
  </si>
  <si>
    <t xml:space="preserve">Energy independence</t>
  </si>
  <si>
    <t xml:space="preserve">Kilopower 10kW specific power</t>
  </si>
  <si>
    <t xml:space="preserve">W/kg</t>
  </si>
  <si>
    <t xml:space="preserve">NASA/LANL fission</t>
  </si>
  <si>
    <t xml:space="preserve">Kilopower KRUSTY</t>
  </si>
  <si>
    <t xml:space="preserve">https://www.nasa.gov/directorates/stmd/tech-demo-missions-program/kilopower/</t>
  </si>
  <si>
    <t xml:space="preserve">Score 4: nuclear required due to 14-day night. Lower specific power than solar alternatives.</t>
  </si>
  <si>
    <t xml:space="preserve">Rolls-Royce micro reactor</t>
  </si>
  <si>
    <t xml:space="preserve">UK Space Agency</t>
  </si>
  <si>
    <t xml:space="preserve">Alternative fission option, higher specific power but lower TRL.</t>
  </si>
  <si>
    <t xml:space="preserve">Mars solar panel specific power</t>
  </si>
  <si>
    <t xml:space="preserve">43% Earth irradiance</t>
  </si>
  <si>
    <t xml:space="preserve">Curiosity RAD/General</t>
  </si>
  <si>
    <t xml:space="preserve">Higher specific power but dust storms cause blackouts. Score 5: solar + nuclear hybrid needed.</t>
  </si>
  <si>
    <t xml:space="preserve">Kilopower on Mars</t>
  </si>
  <si>
    <t xml:space="preserve">Backup for dust storm blackouts.</t>
  </si>
  <si>
    <t xml:space="preserve">ISS iROSA arrays</t>
  </si>
  <si>
    <t xml:space="preserve">ISS proven</t>
  </si>
  <si>
    <t xml:space="preserve">NASA OIG</t>
  </si>
  <si>
    <t xml:space="preserve">https://oig.nasa.gov/</t>
  </si>
  <si>
    <t xml:space="preserve">Proven tech, continuous sunlight in proper orbit.</t>
  </si>
  <si>
    <t xml:space="preserve">Large orbital solar array</t>
  </si>
  <si>
    <t xml:space="preserve">Future design</t>
  </si>
  <si>
    <t xml:space="preserve">Score 8: continuous solar, no dust, no night cycle. Highest potential specific power.</t>
  </si>
  <si>
    <t xml:space="preserve">Transport cost per kg</t>
  </si>
  <si>
    <t xml:space="preserve">SpaceX Starship HLS</t>
  </si>
  <si>
    <t xml:space="preserve">USD/kg</t>
  </si>
  <si>
    <t xml:space="preserve">SpaceX NASA contract</t>
  </si>
  <si>
    <t xml:space="preserve">SpaceX</t>
  </si>
  <si>
    <t xml:space="preserve">https://www.spacex.com/vehicles/starship/</t>
  </si>
  <si>
    <t xml:space="preserve">Starship HLS variant, NASA contract.</t>
  </si>
  <si>
    <t xml:space="preserve">NASA SLS to lunar orbit</t>
  </si>
  <si>
    <t xml:space="preserve">Marginal cost</t>
  </si>
  <si>
    <t xml:space="preserve">$2.2B per launch / 27t. Score 8: Starship dramatically lowers median if achieved.</t>
  </si>
  <si>
    <t xml:space="preserve">SpaceX Starship to Mars</t>
  </si>
  <si>
    <t xml:space="preserve">Musk statements</t>
  </si>
  <si>
    <t xml:space="preserve">No firm pricing, aspirational.</t>
  </si>
  <si>
    <t xml:space="preserve">NASA SLS Block 2 to Mars orbit</t>
  </si>
  <si>
    <t xml:space="preserve">Not yet built</t>
  </si>
  <si>
    <t xml:space="preserve">Score 2: even optimistic Starship cost is 2x LEO. SLS is prohibitive.</t>
  </si>
  <si>
    <t xml:space="preserve">SpaceX Falcon 9 to LEO</t>
  </si>
  <si>
    <t xml:space="preserve">Published pricing</t>
  </si>
  <si>
    <t xml:space="preserve">$67M / 22.8t, proven.</t>
  </si>
  <si>
    <t xml:space="preserve">SpaceX Falcon Heavy to LEO</t>
  </si>
  <si>
    <t xml:space="preserve">$97M / 63.8t expendable.</t>
  </si>
  <si>
    <t xml:space="preserve">SpaceX Starship to LEO (target)</t>
  </si>
  <si>
    <t xml:space="preserve">Aspirational</t>
  </si>
  <si>
    <t xml:space="preserve">Not demonstrated. Score 7: wide range but median is low.</t>
  </si>
  <si>
    <t xml:space="preserve">ESA Ariane 6</t>
  </si>
  <si>
    <t xml:space="preserve">Target price</t>
  </si>
  <si>
    <t xml:space="preserve">Contracted</t>
  </si>
  <si>
    <t xml:space="preserve">ESA</t>
  </si>
  <si>
    <t xml:space="preserve">https://www.arianespace.com/vehicle/ariane-6/</t>
  </si>
  <si>
    <t xml:space="preserve">$115M / 21.6t.</t>
  </si>
  <si>
    <t xml:space="preserve">JAXA H3</t>
  </si>
  <si>
    <t xml:space="preserve">JAXA</t>
  </si>
  <si>
    <t xml:space="preserve">https://www.jaxa.jp/</t>
  </si>
  <si>
    <t xml:space="preserve">$50M target / 6.5t.</t>
  </si>
  <si>
    <t xml:space="preserve">ULA Vulcan Centaur</t>
  </si>
  <si>
    <t xml:space="preserve">ULA</t>
  </si>
  <si>
    <t xml:space="preserve">https://www.ulalaunch.com/</t>
  </si>
  <si>
    <t xml:space="preserve">$250M est / 27.2t.</t>
  </si>
  <si>
    <t xml:space="preserve">Operating cost per capita/year</t>
  </si>
  <si>
    <t xml:space="preserve">Artemis Base Camp estimate</t>
  </si>
  <si>
    <t xml:space="preserve">USD/person/yr</t>
  </si>
  <si>
    <t xml:space="preserve">$5B / 4 crew</t>
  </si>
  <si>
    <t xml:space="preserve">Highly uncertain. Score 5: expensive but potentially reducible with ISRU.</t>
  </si>
  <si>
    <t xml:space="preserve">Mars DRM 5.0 estimate</t>
  </si>
  <si>
    <t xml:space="preserve">$10B / 6 crew</t>
  </si>
  <si>
    <t xml:space="preserve">Score 3: highest per capita cost, long mission duration.</t>
  </si>
  <si>
    <t xml:space="preserve">ISS NASA share per capita</t>
  </si>
  <si>
    <t xml:space="preserve">$3.1B / 7 crew</t>
  </si>
  <si>
    <t xml:space="preserve">Actual ISS operating cost.</t>
  </si>
  <si>
    <t xml:space="preserve">Orbital Reef target</t>
  </si>
  <si>
    <t xml:space="preserve">$500M / 10 crew</t>
  </si>
  <si>
    <t xml:space="preserve">Blue Origin/Sierra</t>
  </si>
  <si>
    <t xml:space="preserve">Commercial target pricing.</t>
  </si>
  <si>
    <t xml:space="preserve">Axiom Station target</t>
  </si>
  <si>
    <t xml:space="preserve">$600M / 8 crew</t>
  </si>
  <si>
    <t xml:space="preserve">Axiom Space</t>
  </si>
  <si>
    <t xml:space="preserve">Score 5: wide range, commercial stations could dramatically reduce cost.</t>
  </si>
  <si>
    <t xml:space="preserve">Cost of failure / recovery</t>
  </si>
  <si>
    <t xml:space="preserve">Lunar surface habitat failure</t>
  </si>
  <si>
    <t xml:space="preserve">USD</t>
  </si>
  <si>
    <t xml:space="preserve">Requires ascent + Orion</t>
  </si>
  <si>
    <t xml:space="preserve">Score 6: expensive but recovery IS possible within days.</t>
  </si>
  <si>
    <t xml:space="preserve">Mars surface emergency</t>
  </si>
  <si>
    <t xml:space="preserve">No rescue possible</t>
  </si>
  <si>
    <t xml:space="preserve">Score 2: no rescue, next window 26 months. Crew loss likely.</t>
  </si>
  <si>
    <t xml:space="preserve">LEO station evacuation</t>
  </si>
  <si>
    <t xml:space="preserve">Dragon/Soyuz docked</t>
  </si>
  <si>
    <t xml:space="preserve">Score 5: rapid evacuation possible, but total station loss is $5B+.</t>
  </si>
  <si>
    <t xml:space="preserve">LEO station total loss</t>
  </si>
  <si>
    <t xml:space="preserve">Structural failure</t>
  </si>
  <si>
    <t xml:space="preserve">Worst case for orbital.</t>
  </si>
  <si>
    <t xml:space="preserve">Maintenance crew time ratio</t>
  </si>
  <si>
    <t xml:space="preserve">Expert assessment</t>
  </si>
  <si>
    <t xml:space="preserve">Score 5: lunar dust abrasion increases maintenance. Limited spares but resupply feasible.</t>
  </si>
  <si>
    <t xml:space="preserve">Score 4: all spares pre-positioned or ISRU-manufactured. Extreme supply chain.</t>
  </si>
  <si>
    <t xml:space="preserve">Score 5: LEO resupply feasible, modular design, ISS heritage data.</t>
  </si>
  <si>
    <t xml:space="preserve">Automation / remote ops capability</t>
  </si>
  <si>
    <t xml:space="preserve">Score 7: low latency enables teleoperation from Earth.</t>
  </si>
  <si>
    <t xml:space="preserve">Score 3: high latency forces full autonomy. AI-driven operations required.</t>
  </si>
  <si>
    <t xml:space="preserve">Score 7: zero latency enables full remote ops. Proven ISS model.</t>
  </si>
  <si>
    <t xml:space="preserve">Monitoring / incident response</t>
  </si>
  <si>
    <t xml:space="preserve">Score 8: near real-time monitoring, rapid Earth-based decision support.</t>
  </si>
  <si>
    <t xml:space="preserve">Score 2: delayed monitoring, crew must self-respond, no rapid evacuation.</t>
  </si>
  <si>
    <t xml:space="preserve">Score 7: real-time monitoring, rapid evacuation possible.</t>
  </si>
  <si>
    <t xml:space="preserve">Resource consumption vs renewal rate</t>
  </si>
  <si>
    <t xml:space="preserve">LCROSS/MOXIE</t>
  </si>
  <si>
    <t xml:space="preserve">Score 5: some ISRU for water and O2, limited biological renewal.</t>
  </si>
  <si>
    <t xml:space="preserve">Score 5: better ISRU potential but higher baseline consumption.</t>
  </si>
  <si>
    <t xml:space="preserve">Score 4: no ISRU, fully dependent on Earth resupply.</t>
  </si>
  <si>
    <t xml:space="preserve">Closed-loop waste management</t>
  </si>
  <si>
    <t xml:space="preserve">Score 4: partial closure feasible, limited testing, dust complicates.</t>
  </si>
  <si>
    <t xml:space="preserve">Score 4: full closure required but not proven at scale.</t>
  </si>
  <si>
    <t xml:space="preserve">Score 5: ISS heritage, incrementally improvable.</t>
  </si>
  <si>
    <t xml:space="preserve">Near-term revenue pathway</t>
  </si>
  <si>
    <t xml:space="preserve">Excitement</t>
  </si>
  <si>
    <t xml:space="preserve">Lunar mining (water) estimate</t>
  </si>
  <si>
    <t xml:space="preserve">USD/yr</t>
  </si>
  <si>
    <t xml:space="preserve">Market estimate</t>
  </si>
  <si>
    <t xml:space="preserve">Speculative</t>
  </si>
  <si>
    <t xml:space="preserve">Dependent on infrastructure. Score 5: moderate potential but speculative timeline.</t>
  </si>
  <si>
    <t xml:space="preserve">Mars IP/media rights</t>
  </si>
  <si>
    <t xml:space="preserve">Broadcasting/licensing</t>
  </si>
  <si>
    <t xml:space="preserve">Score 3: speculative, decades from meaningful revenue.</t>
  </si>
  <si>
    <t xml:space="preserve">Space tourism LEO</t>
  </si>
  <si>
    <t xml:space="preserve">Growing market</t>
  </si>
  <si>
    <t xml:space="preserve">Existing</t>
  </si>
  <si>
    <t xml:space="preserve">Axiom missions, SpaceX.</t>
  </si>
  <si>
    <t xml:space="preserve">Microgravity manufacturing</t>
  </si>
  <si>
    <t xml:space="preserve">Pharma and fiber optics</t>
  </si>
  <si>
    <t xml:space="preserve">Emerging</t>
  </si>
  <si>
    <t xml:space="preserve">Varda Space, Space Forge.</t>
  </si>
  <si>
    <t xml:space="preserve">Satellite servicing</t>
  </si>
  <si>
    <t xml:space="preserve">Proven model</t>
  </si>
  <si>
    <t xml:space="preserve">Northrop MEV, Astroscale.</t>
  </si>
  <si>
    <t xml:space="preserve">Government anchor tenancy</t>
  </si>
  <si>
    <t xml:space="preserve">NASA CLD program</t>
  </si>
  <si>
    <t xml:space="preserve">$3.9B committed. Score 7: multiple existing revenue streams totaling $8.3B/yr.</t>
  </si>
  <si>
    <t xml:space="preserve">Population scalability</t>
  </si>
  <si>
    <t xml:space="preserve">Could</t>
  </si>
  <si>
    <t xml:space="preserve">Score 4: constrained by surface area, lava tube access.</t>
  </si>
  <si>
    <t xml:space="preserve">Jakosky Edwards</t>
  </si>
  <si>
    <t xml:space="preserve">Score 5: vast surface but every person needs full infrastructure.</t>
  </si>
  <si>
    <t xml:space="preserve">Score 9: O'Neill designs scale to 10,000+. Modular expansion.</t>
  </si>
  <si>
    <t xml:space="preserve">Strategic positioning</t>
  </si>
  <si>
    <t xml:space="preserve">Score 6: gateway to deep space, active government priority via Artemis.</t>
  </si>
  <si>
    <t xml:space="preserve">Score 3: decades from strategic relevance, highest risk.</t>
  </si>
  <si>
    <t xml:space="preserve">Score 8: immediate commercial value, stepping stone to all destinations.</t>
  </si>
  <si>
    <t xml:space="preserve">Technology transferability</t>
  </si>
  <si>
    <t xml:space="preserve">Score 7: lunar tech transfers to Mars and orbital.</t>
  </si>
  <si>
    <t xml:space="preserve">Score 4: Mars-specific tech has limited transfer.</t>
  </si>
  <si>
    <t xml:space="preserve">Score 8: most broadly applicable technologies.</t>
  </si>
  <si>
    <t xml:space="preserve">Standard interface compatibility</t>
  </si>
  <si>
    <t xml:space="preserve">Score 6: Artemis establishing standards.</t>
  </si>
  <si>
    <t xml:space="preserve">Score 5: no standards exist yet.</t>
  </si>
  <si>
    <t xml:space="preserve">Score 7: ISS heritage, commercial LEO convergence.</t>
  </si>
  <si>
    <t xml:space="preserve">SPACE COLONY ARCHITECTURE — DATA ANALYSIS WORKBOOK</t>
  </si>
  <si>
    <t xml:space="preserve">Version 1.0 | April 2026</t>
  </si>
  <si>
    <t xml:space="preserve">PURPOSE</t>
  </si>
  <si>
    <t xml:space="preserve">This workbook separates raw sourced data from scoring. Scores are formula-derived, not hardcoded.</t>
  </si>
  <si>
    <t xml:space="preserve">Adding a data row to any RAW_* sheet auto-updates normalization and the final scoring matrix.</t>
  </si>
  <si>
    <t xml:space="preserve">SHEET STRUCTURE</t>
  </si>
  <si>
    <t xml:space="preserve">Sheet</t>
  </si>
  <si>
    <t xml:space="preserve">Purpose</t>
  </si>
  <si>
    <t xml:space="preserve">Who Edits</t>
  </si>
  <si>
    <t xml:space="preserve">README</t>
  </si>
  <si>
    <t xml:space="preserve">This page</t>
  </si>
  <si>
    <t xml:space="preserve">DATA_DICTIONARY</t>
  </si>
  <si>
    <t xml:space="preserve">Column definitions, units, acceptable values for every raw data sheet</t>
  </si>
  <si>
    <t xml:space="preserve">Analyst</t>
  </si>
  <si>
    <t xml:space="preserve">GEMINI_PROMPTS</t>
  </si>
  <si>
    <t xml:space="preserve">Copy-paste prompts for Gemini to research and return structured data</t>
  </si>
  <si>
    <t xml:space="preserve">Analyst / AI</t>
  </si>
  <si>
    <t xml:space="preserve">SOURCE_REGISTRY</t>
  </si>
  <si>
    <t xml:space="preserve">Master list of all sources with IDs, URLs, access dates, reliability ratings</t>
  </si>
  <si>
    <t xml:space="preserve">RAW_Transport_Cost</t>
  </si>
  <si>
    <t xml:space="preserve">$/kg to destination by provider, year, vehicle</t>
  </si>
  <si>
    <t xml:space="preserve">RAW_Operating_Cost</t>
  </si>
  <si>
    <t xml:space="preserve">Annual operating cost per capita by mission/habitat</t>
  </si>
  <si>
    <t xml:space="preserve">RAW_ECLSS</t>
  </si>
  <si>
    <t xml:space="preserve">Life support mass, recovery rates, power, crew capacity</t>
  </si>
  <si>
    <t xml:space="preserve">RAW_Radiation</t>
  </si>
  <si>
    <t xml:space="preserve">Dose rates by destination, shielding effectiveness</t>
  </si>
  <si>
    <t xml:space="preserve">RAW_Gravity</t>
  </si>
  <si>
    <t xml:space="preserve">Surface gravity, health impact data, centrifuge specs</t>
  </si>
  <si>
    <t xml:space="preserve">RAW_Comms_Latency</t>
  </si>
  <si>
    <t xml:space="preserve">Signal delay by destination, bandwidth</t>
  </si>
  <si>
    <t xml:space="preserve">RAW_ISRU</t>
  </si>
  <si>
    <t xml:space="preserve">Resource availability, extraction rates, TRL</t>
  </si>
  <si>
    <t xml:space="preserve">RAW_Energy</t>
  </si>
  <si>
    <t xml:space="preserve">Power generation capacity, mass per kW, availability</t>
  </si>
  <si>
    <t xml:space="preserve">RAW_Failure_Cost</t>
  </si>
  <si>
    <t xml:space="preserve">Mission failure cost estimates, recovery options</t>
  </si>
  <si>
    <t xml:space="preserve">RAW_Revenue</t>
  </si>
  <si>
    <t xml:space="preserve">Near-term revenue models, market sizes</t>
  </si>
  <si>
    <t xml:space="preserve">NORM_ENGINE</t>
  </si>
  <si>
    <t xml:space="preserve">Min/max/median per metric, normalized 1-10 scores (all formulas)</t>
  </si>
  <si>
    <t xml:space="preserve">Do not manually edit</t>
  </si>
  <si>
    <t xml:space="preserve">SCORING_MATRIX</t>
  </si>
  <si>
    <t xml:space="preserve">Final weighted scores derived from NORM_ENGINE (all formulas)</t>
  </si>
  <si>
    <t xml:space="preserve">Weights only</t>
  </si>
  <si>
    <t xml:space="preserve">QUAL_JUSTIFICATIONS</t>
  </si>
  <si>
    <t xml:space="preserve">Expert-rated qualitative metrics with justification text and citations</t>
  </si>
  <si>
    <t xml:space="preserve">COLOR CODING</t>
  </si>
  <si>
    <t xml:space="preserve">Blue text = hardcoded input (add/edit these)</t>
  </si>
  <si>
    <t xml:space="preserve">Black text = formula (do not manually edit)</t>
  </si>
  <si>
    <t xml:space="preserve">Green text = cross-sheet reference</t>
  </si>
  <si>
    <t xml:space="preserve">Yellow background = input cell</t>
  </si>
  <si>
    <t xml:space="preserve">Green background = formula cell</t>
  </si>
  <si>
    <t xml:space="preserve">INSTRUCTIONS FOR GEMINI / AI EXPANSION</t>
  </si>
  <si>
    <t xml:space="preserve">1. Copy the prompt from GEMINI_PROMPTS for the metric you want to expand</t>
  </si>
  <si>
    <t xml:space="preserve">2. Paste into Gemini with 'Return results as a CSV table matching these exact columns'</t>
  </si>
  <si>
    <t xml:space="preserve">3. Paste Gemini's output into the corresponding RAW_* sheet as new rows</t>
  </si>
  <si>
    <t xml:space="preserve">4. Add the source to SOURCE_REGISTRY with a new SRC_ID</t>
  </si>
  <si>
    <t xml:space="preserve">5. Update the row count in NORM_ENGINE if the range needs extending</t>
  </si>
  <si>
    <t xml:space="preserve">6. All scores auto-recalculate</t>
  </si>
  <si>
    <t xml:space="preserve">Column</t>
  </si>
  <si>
    <t xml:space="preserve">Data_Type</t>
  </si>
  <si>
    <t xml:space="preserve">Required</t>
  </si>
  <si>
    <t xml:space="preserve">Valid_Range</t>
  </si>
  <si>
    <t xml:space="preserve">Description</t>
  </si>
  <si>
    <t xml:space="preserve">Provider</t>
  </si>
  <si>
    <t xml:space="preserve">text</t>
  </si>
  <si>
    <t xml:space="preserve">Y</t>
  </si>
  <si>
    <t xml:space="preserve">Organization name (NASA, SpaceX, ESA, JAXA, etc.)</t>
  </si>
  <si>
    <t xml:space="preserve">Vehicle</t>
  </si>
  <si>
    <t xml:space="preserve">Launch vehicle or transport system name</t>
  </si>
  <si>
    <t xml:space="preserve">enum</t>
  </si>
  <si>
    <t xml:space="preserve">LEO|Lunar_Surface|Lunar_Orbit|Mars_Surface|Mars_Orbit|L1|L2</t>
  </si>
  <si>
    <t xml:space="preserve">Target destination</t>
  </si>
  <si>
    <t xml:space="preserve">integer</t>
  </si>
  <si>
    <t xml:space="preserve">2000-2060</t>
  </si>
  <si>
    <t xml:space="preserve">Year of estimate or projection</t>
  </si>
  <si>
    <t xml:space="preserve">Cost_Per_Kg_USD</t>
  </si>
  <si>
    <t xml:space="preserve">number</t>
  </si>
  <si>
    <t xml:space="preserve">&gt;0</t>
  </si>
  <si>
    <t xml:space="preserve">Cost to deliver 1 kg to destination in 2025 USD</t>
  </si>
  <si>
    <t xml:space="preserve">Payload_Capacity_Kg</t>
  </si>
  <si>
    <t xml:space="preserve">kg</t>
  </si>
  <si>
    <t xml:space="preserve">N</t>
  </si>
  <si>
    <t xml:space="preserve">Max payload mass to destination</t>
  </si>
  <si>
    <t xml:space="preserve">Reusability</t>
  </si>
  <si>
    <t xml:space="preserve">Expendable|Partial|Full</t>
  </si>
  <si>
    <t xml:space="preserve">Reuse capability</t>
  </si>
  <si>
    <t xml:space="preserve">Actual|Contracted|Projected|Estimated</t>
  </si>
  <si>
    <t xml:space="preserve">Data reliability level</t>
  </si>
  <si>
    <t xml:space="preserve">SRC_ID</t>
  </si>
  <si>
    <t xml:space="preserve">SRC_###</t>
  </si>
  <si>
    <t xml:space="preserve">Reference to SOURCE_REGISTRY</t>
  </si>
  <si>
    <t xml:space="preserve">Notes</t>
  </si>
  <si>
    <t xml:space="preserve">Any caveats or context</t>
  </si>
  <si>
    <t xml:space="preserve">Mission_or_Habitat</t>
  </si>
  <si>
    <t xml:space="preserve">Name (ISS, Gateway, Tiangong, etc.)</t>
  </si>
  <si>
    <t xml:space="preserve">Agency_or_Provider</t>
  </si>
  <si>
    <t xml:space="preserve">Operating organization</t>
  </si>
  <si>
    <t xml:space="preserve">LEO|Lunar_Surface|Lunar_Orbit|Mars_Surface|Mars_Orbit</t>
  </si>
  <si>
    <t xml:space="preserve">Location</t>
  </si>
  <si>
    <t xml:space="preserve">1998-2060</t>
  </si>
  <si>
    <t xml:space="preserve">Year of data</t>
  </si>
  <si>
    <t xml:space="preserve">Annual_Cost_USD</t>
  </si>
  <si>
    <t xml:space="preserve">Total annual operating cost in 2025 USD</t>
  </si>
  <si>
    <t xml:space="preserve">Crew_Size</t>
  </si>
  <si>
    <t xml:space="preserve">persons</t>
  </si>
  <si>
    <t xml:space="preserve">Number of crew supported</t>
  </si>
  <si>
    <t xml:space="preserve">Cost_Per_Capita_USD</t>
  </si>
  <si>
    <t xml:space="preserve">USD/person/year</t>
  </si>
  <si>
    <t xml:space="preserve">Annual_Cost_USD / Crew_Size</t>
  </si>
  <si>
    <t xml:space="preserve">Includes_Transport</t>
  </si>
  <si>
    <t xml:space="preserve">boolean</t>
  </si>
  <si>
    <t xml:space="preserve">TRUE|FALSE</t>
  </si>
  <si>
    <t xml:space="preserve">Whether transport costs are included</t>
  </si>
  <si>
    <t xml:space="preserve">Data reliability</t>
  </si>
  <si>
    <t xml:space="preserve">Caveats</t>
  </si>
  <si>
    <t xml:space="preserve">System_Name</t>
  </si>
  <si>
    <t xml:space="preserve">ECLSS configuration name</t>
  </si>
  <si>
    <t xml:space="preserve">Developer/operator</t>
  </si>
  <si>
    <t xml:space="preserve">Configuration</t>
  </si>
  <si>
    <t xml:space="preserve">Open|Partially_Closed|Closed</t>
  </si>
  <si>
    <t xml:space="preserve">Loop type</t>
  </si>
  <si>
    <t xml:space="preserve">Initial_Mass_Kg</t>
  </si>
  <si>
    <t xml:space="preserve">Total system mass at deployment</t>
  </si>
  <si>
    <t xml:space="preserve">Water_Recovery_Pct</t>
  </si>
  <si>
    <t xml:space="preserve">0-100</t>
  </si>
  <si>
    <t xml:space="preserve">Water recovery rate</t>
  </si>
  <si>
    <t xml:space="preserve">O2_Recovery_Pct</t>
  </si>
  <si>
    <t xml:space="preserve">Oxygen recovery rate</t>
  </si>
  <si>
    <t xml:space="preserve">Power_Requirement_kW</t>
  </si>
  <si>
    <t xml:space="preserve">kW</t>
  </si>
  <si>
    <t xml:space="preserve">Steady state power draw</t>
  </si>
  <si>
    <t xml:space="preserve">Crew_Capacity</t>
  </si>
  <si>
    <t xml:space="preserve">Max supported crew</t>
  </si>
  <si>
    <t xml:space="preserve">Mass_Per_Crew_Kg</t>
  </si>
  <si>
    <t xml:space="preserve">kg/person</t>
  </si>
  <si>
    <t xml:space="preserve">Initial_Mass_Kg / Crew_Capacity</t>
  </si>
  <si>
    <t xml:space="preserve">TRL</t>
  </si>
  <si>
    <t xml:space="preserve">1-9</t>
  </si>
  <si>
    <t xml:space="preserve">Technology Readiness Level</t>
  </si>
  <si>
    <t xml:space="preserve">Source reference</t>
  </si>
  <si>
    <t xml:space="preserve">Specific location (lunar surface, Mars surface, transit, LEO, etc.)</t>
  </si>
  <si>
    <t xml:space="preserve">Dose_Rate_mSv_per_year</t>
  </si>
  <si>
    <t xml:space="preserve">Annual dose rate</t>
  </si>
  <si>
    <t xml:space="preserve">Shielding_Type</t>
  </si>
  <si>
    <t xml:space="preserve">Shielding description (regolith, water, aluminum, etc.)</t>
  </si>
  <si>
    <t xml:space="preserve">Shielded_Dose_mSv_per_year</t>
  </si>
  <si>
    <t xml:space="preserve">Dose with shielding applied</t>
  </si>
  <si>
    <t xml:space="preserve">Career_Limit_mSv</t>
  </si>
  <si>
    <t xml:space="preserve">mSv</t>
  </si>
  <si>
    <t xml:space="preserve">Career exposure limit (NASA STD 3001: 600 mSv)</t>
  </si>
  <si>
    <t xml:space="preserve">Years_to_Limit</t>
  </si>
  <si>
    <t xml:space="preserve">years</t>
  </si>
  <si>
    <t xml:space="preserve">Career_Limit / Dose_Rate</t>
  </si>
  <si>
    <t xml:space="preserve">Metric</t>
  </si>
  <si>
    <t xml:space="preserve">Prompt_for_Gemini</t>
  </si>
  <si>
    <t xml:space="preserve">Target_Sheet</t>
  </si>
  <si>
    <t xml:space="preserve">Expected_Columns</t>
  </si>
  <si>
    <t xml:space="preserve">Transport Cost per Kg</t>
  </si>
  <si>
    <t xml:space="preserve">Research the cost per kilogram to deliver payload to the following destinations: LEO, Lunar Surface, Lunar Orbit, Mars Surface, Mars Orbit, Earth-Moon L1, Earth-Moon L2. Include data from NASA (SLS, Commercial Crew), SpaceX (Falcon 9, Falcon Heavy, Starship), ESA (Ariane 6), JAXA (H3), Roscosmos (Proton, Soyuz), ULA (Vulcan Centaur), Blue Origin (New Glenn), Rocket Lab (Neutron), China (Long March 5, Long March 9). For each, provide: Provider, Vehicle, Destination, Year of estimate, Cost_Per_Kg_USD (in 2025 dollars), Payload_Capacity_Kg, Reusability (Expendable/Partial/Full), Confidence (Actual/Contracted/Projected/Estimated), and the specific source URL. Return as a CSV table with those exact column headers.</t>
  </si>
  <si>
    <t xml:space="preserve">Provider, Vehicle, Destination, Year, Cost_Per_Kg_USD, Payload_Capacity_Kg, Reusability, Confidence, SRC_ID, Notes</t>
  </si>
  <si>
    <t xml:space="preserve">Operating Cost per Capita</t>
  </si>
  <si>
    <t xml:space="preserve">Research annual operating costs for space habitats and missions. Include: ISS (NASA annual cost / crew), Tiangong (CNSA estimates), Lunar Gateway (projected), Artemis surface missions (projected per-crew costs), Mars Design Reference Mission 5.0 (NASA estimates), Orbital Reef (Blue Origin/Sierra Space projections), Starlab (Voyager/Airbus projections), Axiom Station, Vast Haven-1. For each provide: Mission_or_Habitat, Agency_or_Provider, Destination, Year, Annual_Cost_USD (in 2025 dollars), Crew_Size, Cost_Per_Capita_USD, Includes_Transport (TRUE/FALSE), Confidence (Actual/Contracted/Projected/Estimated), source URL. Return as CSV.</t>
  </si>
  <si>
    <t xml:space="preserve">Mission_or_Habitat, Agency_or_Provider, Destination, Year, Annual_Cost_USD, Crew_Size, Cost_Per_Capita_USD, Includes_Transport, Confidence, SRC_ID, Notes</t>
  </si>
  <si>
    <t xml:space="preserve">ECLSS Specifications</t>
  </si>
  <si>
    <t xml:space="preserve">Research Environmental Control and Life Support System specifications. Include: ISS ECLSS (current), ISS ECLSS (upgraded Exploration ECLSS), Gateway ECLSS, Artemis Surface Habitat ECLSS, Mars Transit ECLSS (NASA DRM 5.0), Bigelow/Vast inflatable habitat ECLSS, ESA MELiSSA, JAXA ECLSS research, any Chinese Tiangong ECLSS data. For each provide: System_Name, Provider, Configuration (Open/Partially_Closed/Closed), Initial_Mass_Kg, Water_Recovery_Pct, O2_Recovery_Pct, Power_Requirement_kW, Crew_Capacity, TRL, source URL. Return as CSV.</t>
  </si>
  <si>
    <t xml:space="preserve">System_Name, Provider, Configuration, Initial_Mass_Kg, Water_Recovery_Pct, O2_Recovery_Pct, Power_Requirement_kW, Crew_Capacity, Mass_Per_Crew_Kg, TRL, SRC_ID, Notes</t>
  </si>
  <si>
    <t xml:space="preserve">Radiation Exposure</t>
  </si>
  <si>
    <t xml:space="preserve">Research radiation dose rates at: LEO (inside ISS), Lunar surface (unshielded and with regolith shielding), Lunar orbit, Mars transit (solar min and max), Mars surface (unshielded and in lava tube), Earth-Mars L1. Include data from NASA, ESA RAD experiment on Curiosity, JAXA Kaguya, Chang'e missions. For each provide: Location, Dose_Rate_mSv_per_year, Shielding_Type, Shielded_Dose_mSv_per_year, Career_Limit_mSv (600 per NASA-STD-3001), Years_to_Limit, source URL. Return as CSV.</t>
  </si>
  <si>
    <t xml:space="preserve">Location, Dose_Rate_mSv_per_year, Shielding_Type, Shielded_Dose_mSv_per_year, Career_Limit_mSv, Years_to_Limit, SRC_ID, Notes</t>
  </si>
  <si>
    <t xml:space="preserve">ISRU Potential</t>
  </si>
  <si>
    <t xml:space="preserve">Research In-Situ Resource Utilization capabilities for Moon and Mars. Include: lunar regolith oxygen extraction (MOXIE analog, ilmenite reduction), lunar water ice (LCROSS data, Chandrayaan, VIPER), Mars atmospheric CO2 to O2 (MOXIE results), Mars subsurface water ice (SHARAD/MARSIS data), Mars methane production (Sabatier process). For each provide: Resource, Destination, Extraction_Method, Production_Rate_kg_per_day, Power_Required_kW, TRL, Estimated_Deployment_Year, source URL. Return as CSV.</t>
  </si>
  <si>
    <t xml:space="preserve">Resource, Destination, Extraction_Method, Production_Rate_kg_per_day, Power_Required_kW, TRL, Estimated_Deployment_Year, SRC_ID, Notes</t>
  </si>
  <si>
    <t xml:space="preserve">Energy Systems</t>
  </si>
  <si>
    <t xml:space="preserve">Research power generation systems for space habitats. Include: ISS solar arrays, Kilopower/KRUSTY fission reactor, NASA FSP (Fission Surface Power), Rolls-Royce micro reactor, Mars solar panel efficiency, lunar solar with polar placement, RTGs (MMRTG, Next-Gen RTG), orbital solar power stations. For each provide: System_Name, Provider, Type (Solar/Fission/RTG/Fusion), Power_Output_kW, Mass_Kg, Specific_Power_W_per_kg, Destination_Suitability, TRL, source URL. Return as CSV.</t>
  </si>
  <si>
    <t xml:space="preserve">System_Name, Provider, Type, Power_Output_kW, Mass_Kg, Specific_Power_W_per_kg, Destination_Suitability, TRL, SRC_ID, Notes</t>
  </si>
  <si>
    <t xml:space="preserve">Failure and Recovery Cost</t>
  </si>
  <si>
    <t xml:space="preserve">Research costs associated with mission failure and recovery for space missions. Include: historical mission failure costs (Columbia, Challenger adjusted to 2025 USD), ISS emergency scenarios, Artemis abort costs, Mars mission failure scenarios (no recovery possible), LEO commercial station emergency return costs, insurance costs for crewed missions. For each provide: Scenario, Destination, Failure_Type, Estimated_Cost_USD, Recovery_Possible (TRUE/FALSE), Recovery_Time_Days, Human_Risk_Level (Low/Medium/High/Critical), source URL. Return as CSV.</t>
  </si>
  <si>
    <t xml:space="preserve">Scenario, Destination, Failure_Type, Estimated_Cost_USD, Recovery_Possible, Recovery_Time_Days, Human_Risk_Level, SRC_ID, Notes</t>
  </si>
  <si>
    <t xml:space="preserve">Revenue Models</t>
  </si>
  <si>
    <t xml:space="preserve">Research near-term revenue pathways for space destinations. Include: space tourism (LEO, lunar flyby, orbital hotels), satellite servicing, in-space manufacturing (ZBLAN fiber, pharmaceuticals, semiconductors), lunar mining (He-3, rare earths, water), Mars IP/media rights, microgravity research contracts, government anchor tenancy contracts. For each provide: Revenue_Stream, Destination, Estimated_Annual_Revenue_USD, Market_Maturity (Existing/Emerging/Speculative), First_Revenue_Year, Key_Players, source URL. Return as CSV.</t>
  </si>
  <si>
    <t xml:space="preserve">Revenue_Stream, Destination, Estimated_Annual_Revenue_USD, Market_Maturity, First_Revenue_Year, Key_Players, SRC_ID, Notes</t>
  </si>
  <si>
    <t xml:space="preserve">Short_Name</t>
  </si>
  <si>
    <t xml:space="preserve">Full_Citation</t>
  </si>
  <si>
    <t xml:space="preserve">URL</t>
  </si>
  <si>
    <t xml:space="preserve">Access_Date</t>
  </si>
  <si>
    <t xml:space="preserve">Type</t>
  </si>
  <si>
    <t xml:space="preserve">Reliability</t>
  </si>
  <si>
    <t xml:space="preserve">Agency</t>
  </si>
  <si>
    <t xml:space="preserve">SRC_001</t>
  </si>
  <si>
    <t xml:space="preserve">NASA OIG ISS Cost</t>
  </si>
  <si>
    <t xml:space="preserve">NASA Office of Inspector General, ISS Annual Cost Report</t>
  </si>
  <si>
    <t xml:space="preserve">2025-01-15</t>
  </si>
  <si>
    <t xml:space="preserve">Report</t>
  </si>
  <si>
    <t xml:space="preserve">High</t>
  </si>
  <si>
    <t xml:space="preserve">NASA</t>
  </si>
  <si>
    <t xml:space="preserve">Annual ISS cost ~$3-4B</t>
  </si>
  <si>
    <t xml:space="preserve">SRC_002</t>
  </si>
  <si>
    <t xml:space="preserve">NASA STD 3001 Vol 1</t>
  </si>
  <si>
    <t xml:space="preserve">NASA-STD-3001 Volume 1, Rev C — Crew Health Standard</t>
  </si>
  <si>
    <t xml:space="preserve">2025-02-01</t>
  </si>
  <si>
    <t xml:space="preserve">Standard</t>
  </si>
  <si>
    <t xml:space="preserve">600 mSv career limit</t>
  </si>
  <si>
    <t xml:space="preserve">SRC_003</t>
  </si>
  <si>
    <t xml:space="preserve">SpaceX Starship</t>
  </si>
  <si>
    <t xml:space="preserve">SpaceX Starship payload and cost projections</t>
  </si>
  <si>
    <t xml:space="preserve">2025-03-01</t>
  </si>
  <si>
    <t xml:space="preserve">Corporate</t>
  </si>
  <si>
    <t xml:space="preserve">Medium</t>
  </si>
  <si>
    <t xml:space="preserve">Cost projections are corporate claims</t>
  </si>
  <si>
    <t xml:space="preserve">SRC_004</t>
  </si>
  <si>
    <t xml:space="preserve">NASA Baseline Values and Assumptions Document, TP-2015-218570/REV2</t>
  </si>
  <si>
    <t xml:space="preserve">2025-02-15</t>
  </si>
  <si>
    <t xml:space="preserve">Technical Report</t>
  </si>
  <si>
    <t xml:space="preserve">ECLSS baseline parameters</t>
  </si>
  <si>
    <t xml:space="preserve">SRC_005</t>
  </si>
  <si>
    <t xml:space="preserve">MSL/RAD Mars surface radiation measurements</t>
  </si>
  <si>
    <t xml:space="preserve">2025-01-20</t>
  </si>
  <si>
    <t xml:space="preserve">Instrument Data</t>
  </si>
  <si>
    <t xml:space="preserve">Actual Mars surface measurements</t>
  </si>
  <si>
    <t xml:space="preserve">SRC_006</t>
  </si>
  <si>
    <t xml:space="preserve">NASA Gateway ECLSS</t>
  </si>
  <si>
    <t xml:space="preserve">Gateway ECLSS Overview, ICES 2022</t>
  </si>
  <si>
    <t xml:space="preserve">https://ntrs.nasa.gov/citations/20220015628</t>
  </si>
  <si>
    <t xml:space="preserve">2025-02-10</t>
  </si>
  <si>
    <t xml:space="preserve">Conference Paper</t>
  </si>
  <si>
    <t xml:space="preserve">2-4 crew, 30-day expeditions</t>
  </si>
  <si>
    <t xml:space="preserve">SRC_007</t>
  </si>
  <si>
    <t xml:space="preserve">MOXIE Mars oxygen production results</t>
  </si>
  <si>
    <t xml:space="preserve">2025-03-05</t>
  </si>
  <si>
    <t xml:space="preserve">Mission Data</t>
  </si>
  <si>
    <t xml:space="preserve">Actual Mars ISRU demonstration</t>
  </si>
  <si>
    <t xml:space="preserve">SRC_008</t>
  </si>
  <si>
    <t xml:space="preserve">Kilopower/KRUSTY fission reactor test results</t>
  </si>
  <si>
    <t xml:space="preserve">2025-02-20</t>
  </si>
  <si>
    <t xml:space="preserve">10 kW class, tested 2018</t>
  </si>
  <si>
    <t xml:space="preserve">SRC_009</t>
  </si>
  <si>
    <t xml:space="preserve">LCROSS Water</t>
  </si>
  <si>
    <t xml:space="preserve">LCROSS lunar water ice detection</t>
  </si>
  <si>
    <t xml:space="preserve">2025-01-25</t>
  </si>
  <si>
    <t xml:space="preserve">Confirmed water ice in permanently shadowed craters</t>
  </si>
  <si>
    <t xml:space="preserve">SRC_010</t>
  </si>
  <si>
    <t xml:space="preserve">ESA Ariane 6 specifications and pricing</t>
  </si>
  <si>
    <t xml:space="preserve">2025-03-10</t>
  </si>
  <si>
    <t xml:space="preserve">First launch 2024</t>
  </si>
  <si>
    <t xml:space="preserve">SRC_011</t>
  </si>
  <si>
    <t xml:space="preserve">URI/Harvard JPG-RR 2024</t>
  </si>
  <si>
    <t xml:space="preserve">Mortreux/Bouxsein dose-response partial gravity study, MHU-8 on ISS, 0/0.33/0.67/1g mice</t>
  </si>
  <si>
    <t xml:space="preserve">https://humanresearchroadmap.nasa.gov/Tasks/task.aspx?i=2413</t>
  </si>
  <si>
    <t xml:space="preserve">2026-04-16</t>
  </si>
  <si>
    <t xml:space="preserve">Peer-reviewed Study</t>
  </si>
  <si>
    <t xml:space="preserve">NASA/JAXA</t>
  </si>
  <si>
    <t xml:space="preserve">0.67g fully prevents atrophy, 0.33g partially mitigates. Published via URI/Bouxsein/Harvard Medical</t>
  </si>
  <si>
    <t xml:space="preserve">SRC_012</t>
  </si>
  <si>
    <t xml:space="preserve">Cavanagh NASA partial-g 2021</t>
  </si>
  <si>
    <t xml:space="preserve">The Partial Gravity of the Moon and Mars Appears Insufficient (ICES 2021-142)</t>
  </si>
  <si>
    <t xml:space="preserve">Indirect evidence: &lt;0.4g insufficient for musculoskeletal/cardiopulmonary conditioning</t>
  </si>
  <si>
    <t xml:space="preserve">SRC_013</t>
  </si>
  <si>
    <t xml:space="preserve">JAXA MHU-2 2019</t>
  </si>
  <si>
    <t xml:space="preserve">Shiba et al., JAXA MHU-2 study, 1/6g partial-g mice on ISS</t>
  </si>
  <si>
    <t xml:space="preserve">https://www.nature.com/articles/s41598-019-42829-z</t>
  </si>
  <si>
    <t xml:space="preserve">1/6g prevents muscle atrophy but not myofiber/gene changes - threshold between 1/6g and 1g</t>
  </si>
  <si>
    <t xml:space="preserve">SRC_014</t>
  </si>
  <si>
    <t xml:space="preserve">Bouxsein et al. npj Microgravity 2020</t>
  </si>
  <si>
    <t xml:space="preserve">Dose-dependent skeletal deficits due to varied reductions in mechanical loading in rats</t>
  </si>
  <si>
    <t xml:space="preserve">https://www.nature.com/articles/s41526-020-0105-0</t>
  </si>
  <si>
    <t xml:space="preserve">Harvard</t>
  </si>
  <si>
    <t xml:space="preserve">Bone loss proportional to unloading, no plateau at 4 weeks - supports dose-response model</t>
  </si>
  <si>
    <t xml:space="preserve">Falcon 9</t>
  </si>
  <si>
    <t xml:space="preserve">LEO</t>
  </si>
  <si>
    <t xml:space="preserve">Partial</t>
  </si>
  <si>
    <t xml:space="preserve">Published pricing ~$67M / 22.8t</t>
  </si>
  <si>
    <t xml:space="preserve">Falcon Heavy</t>
  </si>
  <si>
    <t xml:space="preserve">~$97M expendable pricing</t>
  </si>
  <si>
    <t xml:space="preserve">Starship</t>
  </si>
  <si>
    <t xml:space="preserve">Full</t>
  </si>
  <si>
    <t xml:space="preserve">Aspirational target, not demonstrated</t>
  </si>
  <si>
    <t xml:space="preserve">Lunar_Surface</t>
  </si>
  <si>
    <t xml:space="preserve">HLS variant, NASA contract</t>
  </si>
  <si>
    <t xml:space="preserve">Mars_Surface</t>
  </si>
  <si>
    <t xml:space="preserve">No firm pricing, Musk statements</t>
  </si>
  <si>
    <t xml:space="preserve">SLS Block 1</t>
  </si>
  <si>
    <t xml:space="preserve">Lunar_Orbit</t>
  </si>
  <si>
    <t xml:space="preserve">Expendable</t>
  </si>
  <si>
    <t xml:space="preserve">~$2.2B per launch / 27t to TLI (marginal)</t>
  </si>
  <si>
    <t xml:space="preserve">SLS Block 2</t>
  </si>
  <si>
    <t xml:space="preserve">Mars_Orbit</t>
  </si>
  <si>
    <t xml:space="preserve">Block 2 not yet built</t>
  </si>
  <si>
    <t xml:space="preserve">Vulcan Centaur</t>
  </si>
  <si>
    <t xml:space="preserve">First launch 2024, ~$250M estimated</t>
  </si>
  <si>
    <t xml:space="preserve">Ariane 6 (A64)</t>
  </si>
  <si>
    <t xml:space="preserve">~$115M target price</t>
  </si>
  <si>
    <t xml:space="preserve">H3</t>
  </si>
  <si>
    <t xml:space="preserve">~$50M target, reduced from H-IIA</t>
  </si>
  <si>
    <t xml:space="preserve">Roscosmos</t>
  </si>
  <si>
    <t xml:space="preserve">Proton-M</t>
  </si>
  <si>
    <t xml:space="preserve">~$65M, declining availability</t>
  </si>
  <si>
    <t xml:space="preserve">Blue Origin</t>
  </si>
  <si>
    <t xml:space="preserve">New Glenn</t>
  </si>
  <si>
    <t xml:space="preserve">First stage reusable, no confirmed pricing</t>
  </si>
  <si>
    <t xml:space="preserve">Rocket Lab</t>
  </si>
  <si>
    <t xml:space="preserve">Neutron</t>
  </si>
  <si>
    <t xml:space="preserve">Development phase</t>
  </si>
  <si>
    <t xml:space="preserve">CNSA</t>
  </si>
  <si>
    <t xml:space="preserve">Long March 5</t>
  </si>
  <si>
    <t xml:space="preserve">Chinese pricing estimates</t>
  </si>
  <si>
    <t xml:space="preserve">Long March 9</t>
  </si>
  <si>
    <t xml:space="preserve">Super heavy lift, development</t>
  </si>
  <si>
    <t xml:space="preserve">ISS</t>
  </si>
  <si>
    <t xml:space="preserve">TRUE</t>
  </si>
  <si>
    <t xml:space="preserve">NASA share ~$3.1B, total ~$4B with partners</t>
  </si>
  <si>
    <t xml:space="preserve">Full Partnership</t>
  </si>
  <si>
    <t xml:space="preserve">All partner contributions</t>
  </si>
  <si>
    <t xml:space="preserve">Tiangong</t>
  </si>
  <si>
    <t xml:space="preserve">FALSE</t>
  </si>
  <si>
    <t xml:space="preserve">Limited public data, analyst estimates</t>
  </si>
  <si>
    <t xml:space="preserve">Gateway</t>
  </si>
  <si>
    <t xml:space="preserve">Pre-operational estimates</t>
  </si>
  <si>
    <t xml:space="preserve">Artemis Base Camp</t>
  </si>
  <si>
    <t xml:space="preserve">Includes transport, highly uncertain</t>
  </si>
  <si>
    <t xml:space="preserve">Orbital Reef</t>
  </si>
  <si>
    <t xml:space="preserve">Commercial station, target pricing</t>
  </si>
  <si>
    <t xml:space="preserve">Starlab</t>
  </si>
  <si>
    <t xml:space="preserve">Voyager/Airbus</t>
  </si>
  <si>
    <t xml:space="preserve">Based on press reporting</t>
  </si>
  <si>
    <t xml:space="preserve">Axiom Station</t>
  </si>
  <si>
    <t xml:space="preserve">Modular expansion plan</t>
  </si>
  <si>
    <t xml:space="preserve">Mars DRM 5.0</t>
  </si>
  <si>
    <t xml:space="preserve">Total mission cost / crew / mission duration</t>
  </si>
  <si>
    <t xml:space="preserve">Vast Haven-1</t>
  </si>
  <si>
    <t xml:space="preserve">Vast</t>
  </si>
  <si>
    <t xml:space="preserve">Early commercial estimates</t>
  </si>
  <si>
    <t xml:space="preserve">ISS ECLSS (Current)</t>
  </si>
  <si>
    <t xml:space="preserve">NASA/Boeing</t>
  </si>
  <si>
    <t xml:space="preserve">Partially_Closed</t>
  </si>
  <si>
    <t xml:space="preserve">WRS + OGS + CDRA + TCCS</t>
  </si>
  <si>
    <t xml:space="preserve">ISS ECLSS (Upgraded)</t>
  </si>
  <si>
    <t xml:space="preserve">With Brine Processor + improved Sabatier</t>
  </si>
  <si>
    <t xml:space="preserve">Gateway ECLSS</t>
  </si>
  <si>
    <t xml:space="preserve">NASA/Northrop</t>
  </si>
  <si>
    <t xml:space="preserve">No O2 recovery, resupply dependent</t>
  </si>
  <si>
    <t xml:space="preserve">Exploration ECLSS</t>
  </si>
  <si>
    <t xml:space="preserve">Closed</t>
  </si>
  <si>
    <t xml:space="preserve">Target for Mars transit</t>
  </si>
  <si>
    <t xml:space="preserve">MELiSSA</t>
  </si>
  <si>
    <t xml:space="preserve">Biological loop, long-term research</t>
  </si>
  <si>
    <t xml:space="preserve">Open Loop (Stored)</t>
  </si>
  <si>
    <t xml:space="preserve">Generic</t>
  </si>
  <si>
    <t xml:space="preserve">Open</t>
  </si>
  <si>
    <t xml:space="preserve">Baseline: consumables only, ~30 day missions</t>
  </si>
  <si>
    <t xml:space="preserve">Years_to_Limit_Unshielded</t>
  </si>
  <si>
    <t xml:space="preserve">Years_to_Limit_Shielded</t>
  </si>
  <si>
    <t xml:space="preserve">ISS Interior</t>
  </si>
  <si>
    <t xml:space="preserve">Aluminum hull + equipment</t>
  </si>
  <si>
    <t xml:space="preserve">Shielded by station structure</t>
  </si>
  <si>
    <t xml:space="preserve">Lunar Surface (unshielded)</t>
  </si>
  <si>
    <t xml:space="preserve">None</t>
  </si>
  <si>
    <t xml:space="preserve">No magnetic field, no atmosphere</t>
  </si>
  <si>
    <t xml:space="preserve">Lunar Surface (regolith 2m)</t>
  </si>
  <si>
    <t xml:space="preserve">2m regolith</t>
  </si>
  <si>
    <t xml:space="preserve">Significant reduction with burial</t>
  </si>
  <si>
    <t xml:space="preserve">Lunar Lava Tube</t>
  </si>
  <si>
    <t xml:space="preserve">Best natural shielding on Moon</t>
  </si>
  <si>
    <t xml:space="preserve">Mars Surface (unshielded)</t>
  </si>
  <si>
    <t xml:space="preserve">RAD instrument on Curiosity</t>
  </si>
  <si>
    <t xml:space="preserve">Mars Surface (regolith 1m)</t>
  </si>
  <si>
    <t xml:space="preserve">1m regolith</t>
  </si>
  <si>
    <t xml:space="preserve">Atmosphere provides some shielding</t>
  </si>
  <si>
    <t xml:space="preserve">Mars Lava Tube</t>
  </si>
  <si>
    <t xml:space="preserve">Estimated, not measured</t>
  </si>
  <si>
    <t xml:space="preserve">Deep Space Transit (solar min)</t>
  </si>
  <si>
    <t xml:space="preserve">Mars_Transit</t>
  </si>
  <si>
    <t xml:space="preserve">GCR dominated during solar minimum</t>
  </si>
  <si>
    <t xml:space="preserve">Deep Space Transit (solar max)</t>
  </si>
  <si>
    <t xml:space="preserve">Lower GCR during solar max but SPE risk</t>
  </si>
  <si>
    <t xml:space="preserve">O'Neill Cylinder (shielded)</t>
  </si>
  <si>
    <t xml:space="preserve">Engineered shielding, no atmosphere needed</t>
  </si>
  <si>
    <t xml:space="preserve">ELEO (450km, magnetosphere)</t>
  </si>
  <si>
    <t xml:space="preserve">Magnetosphere natural</t>
  </si>
  <si>
    <t xml:space="preserve">Globus 2017, ELEO below 500km natural protection</t>
  </si>
  <si>
    <t xml:space="preserve">ELEO with water shield (450km)</t>
  </si>
  <si>
    <t xml:space="preserve">Water + magnetosphere</t>
  </si>
  <si>
    <t xml:space="preserve">1m water shield + ELEO</t>
  </si>
  <si>
    <t xml:space="preserve">Gravity_g</t>
  </si>
  <si>
    <t xml:space="preserve">Health_Threshold_g</t>
  </si>
  <si>
    <t xml:space="preserve">Meets_Threshold</t>
  </si>
  <si>
    <t xml:space="preserve">Artificial_Gravity_Feasible</t>
  </si>
  <si>
    <t xml:space="preserve">AG_Method</t>
  </si>
  <si>
    <t xml:space="preserve">AG_Radius_m</t>
  </si>
  <si>
    <t xml:space="preserve">AG_RPM</t>
  </si>
  <si>
    <t xml:space="preserve">Earth</t>
  </si>
  <si>
    <t xml:space="preserve">N/A</t>
  </si>
  <si>
    <t xml:space="preserve">Baseline</t>
  </si>
  <si>
    <t xml:space="preserve">Difficult</t>
  </si>
  <si>
    <t xml:space="preserve">Centrifuge</t>
  </si>
  <si>
    <t xml:space="preserve">50</t>
  </si>
  <si>
    <t xml:space="preserve">4</t>
  </si>
  <si>
    <t xml:space="preserve">Below 0.67g threshold per JAXA MHU-8 mouse study (URI/Bouxsein 2024); 1/6g prevents muscle atrophy per MHU-2 (Shiba 2019) but bone density loss continues</t>
  </si>
  <si>
    <t xml:space="preserve">3.8</t>
  </si>
  <si>
    <t xml:space="preserve">0.33g test group partially mitigated atrophy, but 0.67g required for full prevention per MHU-8. Cavanagh 2021 meta-analysis: &lt;0.4g insufficient</t>
  </si>
  <si>
    <t xml:space="preserve">LEO (ISS)</t>
  </si>
  <si>
    <t xml:space="preserve">~0</t>
  </si>
  <si>
    <t xml:space="preserve">YES</t>
  </si>
  <si>
    <t xml:space="preserve">Rotating station</t>
  </si>
  <si>
    <t xml:space="preserve">100</t>
  </si>
  <si>
    <t xml:space="preserve">3</t>
  </si>
  <si>
    <t xml:space="preserve">Zero-g, countermeasures required</t>
  </si>
  <si>
    <t xml:space="preserve">O'Neill Cylinder</t>
  </si>
  <si>
    <t xml:space="preserve">Built-in</t>
  </si>
  <si>
    <t xml:space="preserve">Rotation</t>
  </si>
  <si>
    <t xml:space="preserve">500</t>
  </si>
  <si>
    <t xml:space="preserve">1.3</t>
  </si>
  <si>
    <t xml:space="preserve">Designed for 1g via rotation</t>
  </si>
  <si>
    <t xml:space="preserve">Stanford Torus</t>
  </si>
  <si>
    <t xml:space="preserve">895</t>
  </si>
  <si>
    <t xml:space="preserve">1.0</t>
  </si>
  <si>
    <t xml:space="preserve">NASA SP-413 design</t>
  </si>
  <si>
    <t xml:space="preserve">Kalpana One</t>
  </si>
  <si>
    <t xml:space="preserve">250</t>
  </si>
  <si>
    <t xml:space="preserve">1.9</t>
  </si>
  <si>
    <t xml:space="preserve">Al Globus design, optimized</t>
  </si>
  <si>
    <t xml:space="preserve">Min_Latency_Sec</t>
  </si>
  <si>
    <t xml:space="preserve">Max_Latency_Sec</t>
  </si>
  <si>
    <t xml:space="preserve">Avg_Latency_Sec</t>
  </si>
  <si>
    <t xml:space="preserve">Bandwidth_Mbps</t>
  </si>
  <si>
    <t xml:space="preserve">Real_Time_Possible</t>
  </si>
  <si>
    <t xml:space="preserve">TDRSS and commercial relay</t>
  </si>
  <si>
    <t xml:space="preserve">Marginal</t>
  </si>
  <si>
    <t xml:space="preserve">~2.6s round trip</t>
  </si>
  <si>
    <t xml:space="preserve">Similar to surface</t>
  </si>
  <si>
    <t xml:space="preserve">3-22 min one-way depending on orbital position</t>
  </si>
  <si>
    <t xml:space="preserve">Same as surface essentially</t>
  </si>
  <si>
    <t xml:space="preserve">Earth-Moon L1</t>
  </si>
  <si>
    <t xml:space="preserve">Slightly farther than Moon</t>
  </si>
  <si>
    <t xml:space="preserve">Earth-Moon L2</t>
  </si>
  <si>
    <t xml:space="preserve">Behind Moon, relay needed</t>
  </si>
  <si>
    <t xml:space="preserve">Resource</t>
  </si>
  <si>
    <t xml:space="preserve">Extraction_Method</t>
  </si>
  <si>
    <t xml:space="preserve">Production_Rate_kg_per_day</t>
  </si>
  <si>
    <t xml:space="preserve">Power_Required_kW</t>
  </si>
  <si>
    <t xml:space="preserve">Estimated_Deployment_Year</t>
  </si>
  <si>
    <t xml:space="preserve">Oxygen</t>
  </si>
  <si>
    <t xml:space="preserve">CO2 electrolysis (MOXIE)</t>
  </si>
  <si>
    <t xml:space="preserve">MOXIE demonstrated 12g/hr</t>
  </si>
  <si>
    <t xml:space="preserve">CO2 electrolysis (scaled)</t>
  </si>
  <si>
    <t xml:space="preserve">Scaled MOXIE concept</t>
  </si>
  <si>
    <t xml:space="preserve">Ilmenite reduction</t>
  </si>
  <si>
    <t xml:space="preserve">Requires regolith processing</t>
  </si>
  <si>
    <t xml:space="preserve">Molten regolith electrolysis</t>
  </si>
  <si>
    <t xml:space="preserve">Higher yield but lower TRL</t>
  </si>
  <si>
    <t xml:space="preserve">Water</t>
  </si>
  <si>
    <t xml:space="preserve">Ice mining (polar craters)</t>
  </si>
  <si>
    <t xml:space="preserve">LCROSS confirmed deposits</t>
  </si>
  <si>
    <t xml:space="preserve">SHARAD data confirms ice sheets</t>
  </si>
  <si>
    <t xml:space="preserve">Methane</t>
  </si>
  <si>
    <t xml:space="preserve">Sabatier process (CO2+H2)</t>
  </si>
  <si>
    <t xml:space="preserve">Well-understood chemistry</t>
  </si>
  <si>
    <t xml:space="preserve">Metals</t>
  </si>
  <si>
    <t xml:space="preserve">Aluminum, iron, titanium from regolith</t>
  </si>
  <si>
    <t xml:space="preserve">He-3</t>
  </si>
  <si>
    <t xml:space="preserve">Regolith heating</t>
  </si>
  <si>
    <t xml:space="preserve">Extremely low concentration, fusion required</t>
  </si>
  <si>
    <t xml:space="preserve">Power_Output_kW</t>
  </si>
  <si>
    <t xml:space="preserve">Mass_Kg</t>
  </si>
  <si>
    <t xml:space="preserve">Specific_Power_W_per_kg</t>
  </si>
  <si>
    <t xml:space="preserve">Destination_Suitability</t>
  </si>
  <si>
    <t xml:space="preserve">ISS Solar Arrays</t>
  </si>
  <si>
    <t xml:space="preserve">Solar</t>
  </si>
  <si>
    <t xml:space="preserve">Current ISS iROSA upgrade to 215 kW</t>
  </si>
  <si>
    <t xml:space="preserve">Kilopower (1 kW)</t>
  </si>
  <si>
    <t xml:space="preserve">NASA/LANL</t>
  </si>
  <si>
    <t xml:space="preserve">Fission</t>
  </si>
  <si>
    <t xml:space="preserve">Lunar_Surface|Mars_Surface</t>
  </si>
  <si>
    <t xml:space="preserve">KRUSTY test 2018</t>
  </si>
  <si>
    <t xml:space="preserve">Kilopower (10 kW)</t>
  </si>
  <si>
    <t xml:space="preserve">Scaled design</t>
  </si>
  <si>
    <t xml:space="preserve">FSP (40 kW)</t>
  </si>
  <si>
    <t xml:space="preserve">NASA/DOE</t>
  </si>
  <si>
    <t xml:space="preserve">Fission Surface Power, Artemis target</t>
  </si>
  <si>
    <t xml:space="preserve">Rolls-Royce Micro Reactor</t>
  </si>
  <si>
    <t xml:space="preserve">Rolls-Royce</t>
  </si>
  <si>
    <t xml:space="preserve">UK Space Agency funded</t>
  </si>
  <si>
    <t xml:space="preserve">Mars Solar Panel</t>
  </si>
  <si>
    <t xml:space="preserve">43% of Earth irradiance, dust issue</t>
  </si>
  <si>
    <t xml:space="preserve">MMRTG</t>
  </si>
  <si>
    <t xml:space="preserve">RTG</t>
  </si>
  <si>
    <t xml:space="preserve">Mars_Surface|Deep_Space</t>
  </si>
  <si>
    <t xml:space="preserve">Curiosity/Perseverance, 14-year life</t>
  </si>
  <si>
    <t xml:space="preserve">Next-Gen RTG</t>
  </si>
  <si>
    <t xml:space="preserve">Enhanced efficiency design</t>
  </si>
  <si>
    <t xml:space="preserve">Orbital Solar (1 MW)</t>
  </si>
  <si>
    <t xml:space="preserve">Large-scale orbital power station</t>
  </si>
  <si>
    <t xml:space="preserve">Scenario</t>
  </si>
  <si>
    <t xml:space="preserve">Failure_Type</t>
  </si>
  <si>
    <t xml:space="preserve">Estimated_Cost_USD</t>
  </si>
  <si>
    <t xml:space="preserve">Annual_Probability</t>
  </si>
  <si>
    <t xml:space="preserve">Expected_Value_USD</t>
  </si>
  <si>
    <t xml:space="preserve">Recovery_Possible</t>
  </si>
  <si>
    <t xml:space="preserve">Recovery_Time_Days</t>
  </si>
  <si>
    <t xml:space="preserve">Human_Risk_Level</t>
  </si>
  <si>
    <t xml:space="preserve">ISS Emergency Evacuation</t>
  </si>
  <si>
    <t xml:space="preserve">Crew emergency</t>
  </si>
  <si>
    <t xml:space="preserve">Soyuz/Dragon always docked</t>
  </si>
  <si>
    <t xml:space="preserve">LEO Station Loss</t>
  </si>
  <si>
    <t xml:space="preserve">Critical</t>
  </si>
  <si>
    <t xml:space="preserve">Total loss scenario</t>
  </si>
  <si>
    <t xml:space="preserve">Artemis Abort (transit)</t>
  </si>
  <si>
    <t xml:space="preserve">Mission abort</t>
  </si>
  <si>
    <t xml:space="preserve">Free-return trajectory available</t>
  </si>
  <si>
    <t xml:space="preserve">Lunar Surface Emergency</t>
  </si>
  <si>
    <t xml:space="preserve">Habitat failure</t>
  </si>
  <si>
    <t xml:space="preserve">Requires ascent vehicle + Orion</t>
  </si>
  <si>
    <t xml:space="preserve">Mars Transit Failure</t>
  </si>
  <si>
    <t xml:space="preserve">Vehicle failure</t>
  </si>
  <si>
    <t xml:space="preserve">Mars Surface Emergency</t>
  </si>
  <si>
    <t xml:space="preserve">No rescue, next window 26 months</t>
  </si>
  <si>
    <t xml:space="preserve">Orbital Habitat Emergency</t>
  </si>
  <si>
    <t xml:space="preserve">Station failure</t>
  </si>
  <si>
    <t xml:space="preserve">Commercial station, escape pods</t>
  </si>
  <si>
    <t xml:space="preserve">Challenger (adjusted)</t>
  </si>
  <si>
    <t xml:space="preserve">Launch failure</t>
  </si>
  <si>
    <t xml:space="preserve">1986, adjusted to 2025 USD</t>
  </si>
  <si>
    <t xml:space="preserve">Columbia (adjusted)</t>
  </si>
  <si>
    <t xml:space="preserve">Reentry failure</t>
  </si>
  <si>
    <t xml:space="preserve">2003, adjusted to 2025 USD</t>
  </si>
  <si>
    <t xml:space="preserve">Revenue_Stream</t>
  </si>
  <si>
    <t xml:space="preserve">Estimated_Annual_Revenue_USD</t>
  </si>
  <si>
    <t xml:space="preserve">Market_Maturity</t>
  </si>
  <si>
    <t xml:space="preserve">Revenue_Tier</t>
  </si>
  <si>
    <t xml:space="preserve">First_Revenue_Year</t>
  </si>
  <si>
    <t xml:space="preserve">Key_Players</t>
  </si>
  <si>
    <t xml:space="preserve">Space Tourism (LEO)</t>
  </si>
  <si>
    <t xml:space="preserve">SpaceX, Axiom, SpaceAdventures</t>
  </si>
  <si>
    <t xml:space="preserve">Growing market, Axiom missions</t>
  </si>
  <si>
    <t xml:space="preserve">Space Tourism (Lunar Flyby)</t>
  </si>
  <si>
    <t xml:space="preserve">SpaceX (dearMoon concept)</t>
  </si>
  <si>
    <t xml:space="preserve">Starship dependent</t>
  </si>
  <si>
    <t xml:space="preserve">Microgravity Manufacturing</t>
  </si>
  <si>
    <t xml:space="preserve">Varda Space, Space Forge</t>
  </si>
  <si>
    <t xml:space="preserve">Satellite Servicing</t>
  </si>
  <si>
    <t xml:space="preserve">Northrop (MEV), Astroscale</t>
  </si>
  <si>
    <t xml:space="preserve">Proven revenue model</t>
  </si>
  <si>
    <t xml:space="preserve">Government Anchor Tenancy</t>
  </si>
  <si>
    <t xml:space="preserve">$3.9B total committed</t>
  </si>
  <si>
    <t xml:space="preserve">Lunar Mining (Water)</t>
  </si>
  <si>
    <t xml:space="preserve">ispace, Intuitive Machines</t>
  </si>
  <si>
    <t xml:space="preserve">Dependent on demand/infrastructure</t>
  </si>
  <si>
    <t xml:space="preserve">He-3 Fusion Fuel</t>
  </si>
  <si>
    <t xml:space="preserve">None established</t>
  </si>
  <si>
    <t xml:space="preserve">Requires fusion power plants</t>
  </si>
  <si>
    <t xml:space="preserve">Mars IP/Media</t>
  </si>
  <si>
    <t xml:space="preserve">SpaceX, National Geographic</t>
  </si>
  <si>
    <t xml:space="preserve">Broadcasting, licensing</t>
  </si>
  <si>
    <t xml:space="preserve">In-Space Research</t>
  </si>
  <si>
    <t xml:space="preserve">Multiple ISS users</t>
  </si>
  <si>
    <t xml:space="preserve">ISS National Lab model</t>
  </si>
  <si>
    <t xml:space="preserve">Metric_ID</t>
  </si>
  <si>
    <t xml:space="preserve">Metric_Name</t>
  </si>
  <si>
    <t xml:space="preserve">Source_Sheet</t>
  </si>
  <si>
    <t xml:space="preserve">Value_Column</t>
  </si>
  <si>
    <t xml:space="preserve">Aggregation</t>
  </si>
  <si>
    <t xml:space="preserve">Moon_Raw</t>
  </si>
  <si>
    <t xml:space="preserve">Mars_Raw</t>
  </si>
  <si>
    <t xml:space="preserve">Orbital_Raw</t>
  </si>
  <si>
    <t xml:space="preserve">Lower_Is_Better</t>
  </si>
  <si>
    <t xml:space="preserve">Min_Across_All</t>
  </si>
  <si>
    <t xml:space="preserve">Max_Across_All</t>
  </si>
  <si>
    <t xml:space="preserve">Moon_Normalized</t>
  </si>
  <si>
    <t xml:space="preserve">Mars_Normalized</t>
  </si>
  <si>
    <t xml:space="preserve">Orbital_Normalized</t>
  </si>
  <si>
    <t xml:space="preserve">M01</t>
  </si>
  <si>
    <t xml:space="preserve">Transport Cost ($/kg)</t>
  </si>
  <si>
    <t xml:space="preserve">Best projected cost by destination (2030+ tech)</t>
  </si>
  <si>
    <t xml:space="preserve">M02</t>
  </si>
  <si>
    <t xml:space="preserve">Operating Cost ($/capita/yr)</t>
  </si>
  <si>
    <t xml:space="preserve">Best projected cost-per-capita by destination</t>
  </si>
  <si>
    <t xml:space="preserve">M03</t>
  </si>
  <si>
    <t xml:space="preserve">ECLSS Water Recovery (%)</t>
  </si>
  <si>
    <t xml:space="preserve">Best available</t>
  </si>
  <si>
    <t xml:space="preserve">M04</t>
  </si>
  <si>
    <t xml:space="preserve">ECLSS O2 Recovery (%)</t>
  </si>
  <si>
    <t xml:space="preserve">M05</t>
  </si>
  <si>
    <t xml:space="preserve">Radiation Dose (mSv/yr, shielded)</t>
  </si>
  <si>
    <t xml:space="preserve">Best shielded option by destination</t>
  </si>
  <si>
    <t xml:space="preserve">M06</t>
  </si>
  <si>
    <t xml:space="preserve">Gravity (g)</t>
  </si>
  <si>
    <t xml:space="preserve">Native or achievable</t>
  </si>
  <si>
    <t xml:space="preserve">M07</t>
  </si>
  <si>
    <t xml:space="preserve">Comms Latency (sec, avg)</t>
  </si>
  <si>
    <t xml:space="preserve">By destination</t>
  </si>
  <si>
    <t xml:space="preserve">M08</t>
  </si>
  <si>
    <t xml:space="preserve">ISRU Production (kg/day)</t>
  </si>
  <si>
    <t xml:space="preserve">Sum projected production kg/day by destination</t>
  </si>
  <si>
    <t xml:space="preserve">M09</t>
  </si>
  <si>
    <t xml:space="preserve">Energy Specific Power (W/kg)</t>
  </si>
  <si>
    <t xml:space="preserve">Best specific power by destination</t>
  </si>
  <si>
    <t xml:space="preserve">M10</t>
  </si>
  <si>
    <t xml:space="preserve">Failure Expected Value ($)</t>
  </si>
  <si>
    <t xml:space="preserve">Max expected value (cost x probability) by destination</t>
  </si>
  <si>
    <t xml:space="preserve">M11</t>
  </si>
  <si>
    <t xml:space="preserve">Revenue Potential Baseline ($/yr)</t>
  </si>
  <si>
    <t xml:space="preserve">Sum baseline tier (Existing + Emerging)</t>
  </si>
  <si>
    <t xml:space="preserve">M12</t>
  </si>
  <si>
    <t xml:space="preserve">Revenue Upside (Speculative - sensitivity only)</t>
  </si>
  <si>
    <t xml:space="preserve">Sum speculative tier (documentation only)</t>
  </si>
  <si>
    <t xml:space="preserve">INSTRUCTIONS:</t>
  </si>
  <si>
    <t xml:space="preserve">1. Add rows to RAW_* sheets - formulas auto-extend to row 100</t>
  </si>
  <si>
    <t xml:space="preserve">2. Aggregation = best projected value per destination (forward-looking 2030+)</t>
  </si>
  <si>
    <t xml:space="preserve">3. Normalization: IF(Lower_Is_Better, 1+9*(Max-Raw)/(Max-Min), 1+9*(Raw-Min)/(Max-Min))</t>
  </si>
  <si>
    <t xml:space="preserve">4. Result: 1-10 scale where 10 = best for colonization</t>
  </si>
  <si>
    <t xml:space="preserve">5. M10 Failure now uses Expected Value (Cost x Probability)</t>
  </si>
  <si>
    <t xml:space="preserve">6. M11 Revenue scored on Baseline only (Existing+Emerging); M12 is sensitivity</t>
  </si>
  <si>
    <t xml:space="preserve">7. M12 is not used in scoring - documents speculative upside</t>
  </si>
  <si>
    <t xml:space="preserve">8. M05 Radiation: absolute safety floor at 50 mSv/yr (values under threshold score minimum 5)</t>
  </si>
  <si>
    <t xml:space="preserve">NASA_Hazard_or_WA_Pillar</t>
  </si>
  <si>
    <t xml:space="preserve">Metric_Type</t>
  </si>
  <si>
    <t xml:space="preserve">Moon_Score</t>
  </si>
  <si>
    <t xml:space="preserve">Mars_Score</t>
  </si>
  <si>
    <t xml:space="preserve">Orbital_Score</t>
  </si>
  <si>
    <t xml:space="preserve">Moon_Weighted</t>
  </si>
  <si>
    <t xml:space="preserve">Mars_Weighted</t>
  </si>
  <si>
    <t xml:space="preserve">Orbital_Weighted</t>
  </si>
  <si>
    <t xml:space="preserve">Data_Source</t>
  </si>
  <si>
    <t xml:space="preserve">Justification</t>
  </si>
  <si>
    <t xml:space="preserve">Gravity Fields</t>
  </si>
  <si>
    <t xml:space="preserve">QUANTITATIVE</t>
  </si>
  <si>
    <t xml:space="preserve">RAW_Gravity → NORM_ENGINE M06</t>
  </si>
  <si>
    <t xml:space="preserve">Native gravity vs 0.67g threshold (URI/Harvard 2026 mouse study)</t>
  </si>
  <si>
    <t xml:space="preserve">Radiation</t>
  </si>
  <si>
    <t xml:space="preserve">RAW_Radiation → NORM_ENGINE M05</t>
  </si>
  <si>
    <t xml:space="preserve">Shielded dose rate, years to career limit</t>
  </si>
  <si>
    <t xml:space="preserve">Hostile/Closed Env</t>
  </si>
  <si>
    <t xml:space="preserve">RAW_ECLSS → NORM_ENGINE M03</t>
  </si>
  <si>
    <t xml:space="preserve">Water recovery % as proxy</t>
  </si>
  <si>
    <t xml:space="preserve">RAW_ECLSS → NORM_ENGINE M04</t>
  </si>
  <si>
    <t xml:space="preserve">O2 recovery %</t>
  </si>
  <si>
    <t xml:space="preserve">Distance from Earth</t>
  </si>
  <si>
    <t xml:space="preserve">RAW_Comms_Latency + RAW_Failure_Cost</t>
  </si>
  <si>
    <t xml:space="preserve">Composite: latency + recovery feasibility</t>
  </si>
  <si>
    <t xml:space="preserve">RAW_Transport_Cost + RAW_ISRU</t>
  </si>
  <si>
    <t xml:space="preserve">Transport cost + ISRU self-sufficiency</t>
  </si>
  <si>
    <t xml:space="preserve">RAW_Comms_Latency → NORM_ENGINE M07</t>
  </si>
  <si>
    <t xml:space="preserve">Signal delay seconds</t>
  </si>
  <si>
    <t xml:space="preserve">Isolation/Confinement</t>
  </si>
  <si>
    <t xml:space="preserve">QUALITATIVE</t>
  </si>
  <si>
    <t xml:space="preserve">Expert rated, see justification sheet</t>
  </si>
  <si>
    <t xml:space="preserve">RAW_ISRU → NORM_ENGINE M08</t>
  </si>
  <si>
    <t xml:space="preserve">Total production rate kg/day</t>
  </si>
  <si>
    <t xml:space="preserve">RAW_Energy → NORM_ENGINE M09</t>
  </si>
  <si>
    <t xml:space="preserve">Specific power W/kg</t>
  </si>
  <si>
    <t xml:space="preserve">Cost Optimization</t>
  </si>
  <si>
    <t xml:space="preserve">RAW_Transport_Cost → NORM_ENGINE M01</t>
  </si>
  <si>
    <t xml:space="preserve">Median $/kg by destination</t>
  </si>
  <si>
    <t xml:space="preserve">RAW_Operating_Cost → NORM_ENGINE M02</t>
  </si>
  <si>
    <t xml:space="preserve">Median $/capita/yr</t>
  </si>
  <si>
    <t xml:space="preserve">RAW_Failure_Cost → NORM_ENGINE M10</t>
  </si>
  <si>
    <t xml:space="preserve">Worst case $ + recovery feasibility</t>
  </si>
  <si>
    <t xml:space="preserve">RAW_Revenue → NORM_ENGINE M11</t>
  </si>
  <si>
    <t xml:space="preserve">Sum revenue by destination</t>
  </si>
  <si>
    <t xml:space="preserve">Operational Excellence</t>
  </si>
  <si>
    <t xml:space="preserve">Expert rated</t>
  </si>
  <si>
    <t xml:space="preserve">Resource consumption vs renewal</t>
  </si>
  <si>
    <t xml:space="preserve">Sustainability</t>
  </si>
  <si>
    <t xml:space="preserve">Hybrid &amp; Portable</t>
  </si>
  <si>
    <t xml:space="preserve">Time to operational capacity</t>
  </si>
  <si>
    <t xml:space="preserve">Expert rated: years from program start to functioning permanent outpost</t>
  </si>
  <si>
    <t xml:space="preserve">Capital to self-sustaining config</t>
  </si>
  <si>
    <t xml:space="preserve">Expert rated: capital required to reach resupply-independent configuration</t>
  </si>
  <si>
    <t xml:space="preserve">TOTALS</t>
  </si>
  <si>
    <t xml:space="preserve">Moon_Justification</t>
  </si>
  <si>
    <t xml:space="preserve">Moon_Sources</t>
  </si>
  <si>
    <t xml:space="preserve">Mars_Justification</t>
  </si>
  <si>
    <t xml:space="preserve">Mars_Sources</t>
  </si>
  <si>
    <t xml:space="preserve">Orbital_Justification</t>
  </si>
  <si>
    <t xml:space="preserve">Orbital_Sources</t>
  </si>
  <si>
    <t xml:space="preserve">1.3s latency allows near-real-time Earth contact; 2-week rotations feasible; familiar environment</t>
  </si>
  <si>
    <t xml:space="preserve">4-24 min latency; 26-month isolation; extreme psychological demands; no precedent</t>
  </si>
  <si>
    <t xml:space="preserve">SRC_002, Red Risks study</t>
  </si>
  <si>
    <t xml:space="preserve">Zero latency; rotation possible; but confined environment</t>
  </si>
  <si>
    <t xml:space="preserve">Lunar dust abrasion increases maintenance; limited spares</t>
  </si>
  <si>
    <t xml:space="preserve">Extreme supply chain; all spares must be pre-positioned or ISRU-manufactured</t>
  </si>
  <si>
    <t xml:space="preserve">LEO proximity enables resupply; modular design feasible</t>
  </si>
  <si>
    <t xml:space="preserve">Low latency enables teleoperation from Earth</t>
  </si>
  <si>
    <t xml:space="preserve">High latency forces full autonomy requirement</t>
  </si>
  <si>
    <t xml:space="preserve">Zero latency enables full remote ops</t>
  </si>
  <si>
    <t xml:space="preserve">Near real-time monitoring; rapid Earth-based support</t>
  </si>
  <si>
    <t xml:space="preserve">Delayed monitoring; crew must self-respond</t>
  </si>
  <si>
    <t xml:space="preserve">Real-time monitoring; rapid evacuation possible</t>
  </si>
  <si>
    <t xml:space="preserve">Some ISRU (water, O2), limited biological renewal</t>
  </si>
  <si>
    <t xml:space="preserve">Better ISRU potential but higher baseline consumption</t>
  </si>
  <si>
    <t xml:space="preserve">SRC_005, SRC_007</t>
  </si>
  <si>
    <t xml:space="preserve">No ISRU, fully dependent on Earth resupply or imports</t>
  </si>
  <si>
    <t xml:space="preserve">Partial closure feasible; limited testing</t>
  </si>
  <si>
    <t xml:space="preserve">Full closure required but not proven</t>
  </si>
  <si>
    <t xml:space="preserve">ISS heritage, incrementally improvable</t>
  </si>
  <si>
    <t xml:space="preserve">Constrained by surface area, lava tube access</t>
  </si>
  <si>
    <t xml:space="preserve">Vast surface, but every person needs full habitat infrastructure</t>
  </si>
  <si>
    <t xml:space="preserve">O'Neill cylinder designs scale to 10,000+</t>
  </si>
  <si>
    <t xml:space="preserve">Gateway to deep space; resource access; government priority</t>
  </si>
  <si>
    <t xml:space="preserve">Long-term potential but decades from strategic relevance</t>
  </si>
  <si>
    <t xml:space="preserve">Immediate commercial value; multiple use cases</t>
  </si>
  <si>
    <t xml:space="preserve">Technologies transfer to Mars and orbital</t>
  </si>
  <si>
    <t xml:space="preserve">Mars-specific tech has limited transfer</t>
  </si>
  <si>
    <t xml:space="preserve">Most broadly applicable technologies</t>
  </si>
  <si>
    <t xml:space="preserve">Artemis establishing standards</t>
  </si>
  <si>
    <t xml:space="preserve">No standards exist yet</t>
  </si>
  <si>
    <t xml:space="preserve">ISS heritage standards, commercial LEO convergence</t>
  </si>
  <si>
    <t xml:space="preserve">Artemis HLS on track for 2028; permanent habitat can follow 2-4 years after; lunar surface tech closest to flight-ready; fission reactor in development</t>
  </si>
  <si>
    <t xml:space="preserve">SRC_001, SRC_008</t>
  </si>
  <si>
    <t xml:space="preserve">No flight-ready human Mars hardware exists; DRM 5.0 targets 2040+ first crew; transit vehicle, EDL at scale, and surface habitat all TRL 3-4; 26-month launch windows limit iteration</t>
  </si>
  <si>
    <t xml:space="preserve">Small commercial station 3-5 years (Haven-1, Axiom, Starlab); colony-scale rotating habitat 15-20+ years with no current program demonstrating the structure at required radius</t>
  </si>
  <si>
    <t xml:space="preserve">$50-80B estimated: Artemis infrastructure ($93B committed) plus ISRU water/O2 plus surface fission reactor plus habitat expansion; leverages existing cislunar transport</t>
  </si>
  <si>
    <t xml:space="preserve">SRC_001, SRC_009</t>
  </si>
  <si>
    <t xml:space="preserve">$200-400B estimated: Mars DRM baseline plus permanent habitat plus crisis buffer required for 26-month resupply gap; no economies of scale from prior ops</t>
  </si>
  <si>
    <t xml:space="preserve">$100-150B for small station per ISS lifecycle analog; colony-scale unknown, OpenNeill-Glaser 1975 study estimated $283B for lunar mining base alone before habitat construction</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</si>
</sst>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General"/>
  </numFmts>
  <fonts count="1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1"/>
      <name val="Arial"/>
      <family val="0"/>
      <charset val="1"/>
    </font>
    <font>
      <u val="single"/>
      <sz val="10"/>
      <color rgb="FF0563C1"/>
      <name val="Arial"/>
      <family val="0"/>
      <charset val="1"/>
    </font>
    <font>
      <b val="true"/>
      <sz val="14"/>
      <color rgb="FF2F5496"/>
      <name val="Arial"/>
      <family val="0"/>
      <charset val="1"/>
    </font>
    <font>
      <b val="true"/>
      <sz val="11"/>
      <color rgb="FF2F5496"/>
      <name val="Arial"/>
      <family val="0"/>
      <charset val="1"/>
    </font>
    <font>
      <sz val="10"/>
      <color rgb="FF0000FF"/>
      <name val="Arial"/>
      <family val="0"/>
      <charset val="1"/>
    </font>
    <font>
      <sz val="10"/>
      <color rgb="FF000000"/>
      <name val="Arial"/>
      <family val="0"/>
      <charset val="1"/>
    </font>
    <font>
      <b val="true"/>
      <sz val="11"/>
      <name val="Cambria"/>
      <family val="0"/>
      <charset val="1"/>
    </font>
    <font>
      <sz val="10"/>
      <name val="Arial"/>
      <family val="2"/>
    </font>
    <font>
      <sz val="11"/>
      <color rgb="FF000000"/>
      <name val="Cambria"/>
      <family val="0"/>
      <charset val="1"/>
    </font>
    <font>
      <b val="true"/>
      <sz val="10"/>
      <color rgb="FFFF0000"/>
      <name val="Arial"/>
      <family val="0"/>
      <charset val="1"/>
    </font>
    <font>
      <sz val="9"/>
      <color rgb="FF666666"/>
      <name val="Arial"/>
      <family val="0"/>
      <charset val="1"/>
    </font>
    <font>
      <sz val="10"/>
      <color rgb="FF008000"/>
      <name val="Arial"/>
      <family val="0"/>
      <charset val="1"/>
    </font>
    <font>
      <b val="true"/>
      <sz val="10"/>
      <name val="Arial"/>
      <family val="0"/>
      <charset val="1"/>
    </font>
  </fonts>
  <fills count="5">
    <fill>
      <patternFill patternType="none"/>
    </fill>
    <fill>
      <patternFill patternType="gray125"/>
    </fill>
    <fill>
      <patternFill patternType="solid">
        <fgColor rgb="FF2F5496"/>
        <bgColor rgb="FF0563C1"/>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general" vertical="bottom" textRotation="0" wrapText="fals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8" fontId="17" fillId="3" borderId="1" xfId="0" applyFont="true" applyBorder="true" applyAlignment="true" applyProtection="false">
      <alignment horizontal="general" vertical="bottom" textRotation="0" wrapText="false" indent="0" shrinkToFit="false"/>
      <protection locked="true" hidden="false"/>
    </xf>
    <xf numFmtId="168" fontId="11" fillId="3"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2.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5"/>
    <col collapsed="false" customWidth="true" hidden="false" outlineLevel="0" max="4" min="3" style="1" width="7"/>
    <col collapsed="false" customWidth="true" hidden="false" outlineLevel="0" max="5" min="5" style="1" width="12"/>
    <col collapsed="false" customWidth="true" hidden="false" outlineLevel="0" max="6" min="6" style="1" width="10"/>
    <col collapsed="false" customWidth="true" hidden="false" outlineLevel="0" max="7" min="7" style="1" width="6"/>
    <col collapsed="false" customWidth="true" hidden="false" outlineLevel="0" max="8" min="8" style="1" width="35"/>
    <col collapsed="false" customWidth="true" hidden="false" outlineLevel="0" max="9" min="9" style="1" width="15"/>
    <col collapsed="false" customWidth="true" hidden="false" outlineLevel="0" max="10" min="10" style="1" width="12"/>
    <col collapsed="false" customWidth="true" hidden="false" outlineLevel="0" max="11" min="11" style="1" width="25"/>
    <col collapsed="false" customWidth="true" hidden="false" outlineLevel="0" max="12" min="12" style="1" width="6"/>
    <col collapsed="false" customWidth="true" hidden="false" outlineLevel="0" max="13" min="13" style="1" width="12"/>
    <col collapsed="false" customWidth="true" hidden="false" outlineLevel="0" max="14" min="14" style="1" width="20"/>
    <col collapsed="false" customWidth="true" hidden="false" outlineLevel="0" max="15" min="15" style="1" width="55"/>
    <col collapsed="false" customWidth="true" hidden="false" outlineLevel="0" max="16" min="16" style="1" width="60"/>
  </cols>
  <sheetData>
    <row r="1" customFormat="false" ht="34.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34.5" hidden="false" customHeight="true" outlineLevel="0" collapsed="false">
      <c r="A2" s="3" t="s">
        <v>16</v>
      </c>
      <c r="B2" s="3" t="n">
        <v>1</v>
      </c>
      <c r="C2" s="3" t="s">
        <v>17</v>
      </c>
      <c r="D2" s="3" t="n">
        <v>10</v>
      </c>
      <c r="E2" s="3" t="s">
        <v>18</v>
      </c>
      <c r="F2" s="3" t="s">
        <v>19</v>
      </c>
      <c r="G2" s="4" t="n">
        <v>2</v>
      </c>
      <c r="H2" s="5" t="s">
        <v>20</v>
      </c>
      <c r="I2" s="3" t="n">
        <v>0.166</v>
      </c>
      <c r="J2" s="3" t="s">
        <v>21</v>
      </c>
      <c r="K2" s="3" t="s">
        <v>22</v>
      </c>
      <c r="L2" s="3" t="n">
        <v>2025</v>
      </c>
      <c r="M2" s="3" t="s">
        <v>23</v>
      </c>
      <c r="N2" s="6" t="s">
        <v>24</v>
      </c>
      <c r="O2" s="3" t="s">
        <v>25</v>
      </c>
      <c r="P2" s="5" t="s">
        <v>26</v>
      </c>
    </row>
    <row r="3" customFormat="false" ht="23.25" hidden="false" customHeight="true" outlineLevel="0" collapsed="false">
      <c r="A3" s="3" t="s">
        <v>16</v>
      </c>
      <c r="B3" s="3" t="n">
        <v>1</v>
      </c>
      <c r="C3" s="3" t="s">
        <v>17</v>
      </c>
      <c r="D3" s="3" t="n">
        <v>10</v>
      </c>
      <c r="E3" s="3" t="s">
        <v>18</v>
      </c>
      <c r="F3" s="3" t="s">
        <v>27</v>
      </c>
      <c r="G3" s="4" t="n">
        <v>4</v>
      </c>
      <c r="H3" s="5" t="s">
        <v>20</v>
      </c>
      <c r="I3" s="3" t="n">
        <v>0.378</v>
      </c>
      <c r="J3" s="3" t="s">
        <v>21</v>
      </c>
      <c r="K3" s="3" t="s">
        <v>22</v>
      </c>
      <c r="L3" s="3" t="n">
        <v>2025</v>
      </c>
      <c r="M3" s="3" t="s">
        <v>23</v>
      </c>
      <c r="N3" s="6" t="s">
        <v>24</v>
      </c>
      <c r="O3" s="3" t="s">
        <v>25</v>
      </c>
      <c r="P3" s="5" t="s">
        <v>28</v>
      </c>
    </row>
    <row r="4" customFormat="false" ht="23.25" hidden="false" customHeight="true" outlineLevel="0" collapsed="false">
      <c r="A4" s="3" t="s">
        <v>16</v>
      </c>
      <c r="B4" s="3" t="n">
        <v>1</v>
      </c>
      <c r="C4" s="3" t="s">
        <v>17</v>
      </c>
      <c r="D4" s="3" t="n">
        <v>10</v>
      </c>
      <c r="E4" s="3" t="s">
        <v>18</v>
      </c>
      <c r="F4" s="3" t="s">
        <v>27</v>
      </c>
      <c r="G4" s="4" t="n">
        <v>4</v>
      </c>
      <c r="H4" s="5" t="s">
        <v>29</v>
      </c>
      <c r="I4" s="3" t="n">
        <v>0.33</v>
      </c>
      <c r="J4" s="3" t="s">
        <v>21</v>
      </c>
      <c r="K4" s="3" t="s">
        <v>30</v>
      </c>
      <c r="L4" s="3" t="n">
        <v>2026</v>
      </c>
      <c r="M4" s="3" t="s">
        <v>23</v>
      </c>
      <c r="N4" s="6" t="s">
        <v>31</v>
      </c>
      <c r="O4" s="3" t="s">
        <v>32</v>
      </c>
      <c r="P4" s="5" t="s">
        <v>33</v>
      </c>
    </row>
    <row r="5" customFormat="false" ht="23.25" hidden="false" customHeight="true" outlineLevel="0" collapsed="false">
      <c r="A5" s="3" t="s">
        <v>16</v>
      </c>
      <c r="B5" s="3" t="n">
        <v>1</v>
      </c>
      <c r="C5" s="3" t="s">
        <v>17</v>
      </c>
      <c r="D5" s="3" t="n">
        <v>10</v>
      </c>
      <c r="E5" s="3" t="s">
        <v>18</v>
      </c>
      <c r="F5" s="3" t="s">
        <v>34</v>
      </c>
      <c r="G5" s="4" t="n">
        <v>9</v>
      </c>
      <c r="H5" s="5" t="s">
        <v>35</v>
      </c>
      <c r="I5" s="3" t="n">
        <v>1</v>
      </c>
      <c r="J5" s="3" t="s">
        <v>21</v>
      </c>
      <c r="K5" s="3" t="s">
        <v>36</v>
      </c>
      <c r="L5" s="3" t="n">
        <v>2025</v>
      </c>
      <c r="M5" s="3" t="s">
        <v>37</v>
      </c>
      <c r="N5" s="6" t="s">
        <v>38</v>
      </c>
      <c r="O5" s="3" t="s">
        <v>39</v>
      </c>
      <c r="P5" s="5" t="s">
        <v>40</v>
      </c>
    </row>
    <row r="6" customFormat="false" ht="15" hidden="false" customHeight="true" outlineLevel="0" collapsed="false">
      <c r="A6" s="3" t="s">
        <v>16</v>
      </c>
      <c r="B6" s="3" t="n">
        <v>1</v>
      </c>
      <c r="C6" s="3" t="s">
        <v>17</v>
      </c>
      <c r="D6" s="3" t="n">
        <v>10</v>
      </c>
      <c r="E6" s="3" t="s">
        <v>18</v>
      </c>
      <c r="F6" s="3" t="s">
        <v>34</v>
      </c>
      <c r="G6" s="4" t="n">
        <v>9</v>
      </c>
      <c r="H6" s="5" t="s">
        <v>41</v>
      </c>
      <c r="I6" s="3" t="n">
        <v>1</v>
      </c>
      <c r="J6" s="3" t="s">
        <v>21</v>
      </c>
      <c r="K6" s="3" t="s">
        <v>36</v>
      </c>
      <c r="L6" s="3" t="n">
        <v>1975</v>
      </c>
      <c r="M6" s="3" t="s">
        <v>37</v>
      </c>
      <c r="N6" s="6" t="s">
        <v>38</v>
      </c>
      <c r="O6" s="3" t="s">
        <v>39</v>
      </c>
      <c r="P6" s="5" t="s">
        <v>42</v>
      </c>
    </row>
    <row r="7" customFormat="false" ht="15" hidden="false" customHeight="true" outlineLevel="0" collapsed="false">
      <c r="A7" s="3" t="s">
        <v>16</v>
      </c>
      <c r="B7" s="3" t="n">
        <v>1</v>
      </c>
      <c r="C7" s="3" t="s">
        <v>17</v>
      </c>
      <c r="D7" s="3" t="n">
        <v>10</v>
      </c>
      <c r="E7" s="3" t="s">
        <v>18</v>
      </c>
      <c r="F7" s="3" t="s">
        <v>34</v>
      </c>
      <c r="G7" s="4" t="n">
        <v>9</v>
      </c>
      <c r="H7" s="5" t="s">
        <v>43</v>
      </c>
      <c r="I7" s="3" t="n">
        <v>1</v>
      </c>
      <c r="J7" s="3" t="s">
        <v>21</v>
      </c>
      <c r="K7" s="3" t="s">
        <v>44</v>
      </c>
      <c r="L7" s="3" t="n">
        <v>2007</v>
      </c>
      <c r="M7" s="3" t="s">
        <v>37</v>
      </c>
      <c r="N7" s="6" t="s">
        <v>45</v>
      </c>
      <c r="O7" s="3" t="s">
        <v>46</v>
      </c>
      <c r="P7" s="5" t="s">
        <v>47</v>
      </c>
    </row>
    <row r="8" customFormat="false" ht="15" hidden="false" customHeight="true" outlineLevel="0" collapsed="false">
      <c r="A8" s="3" t="s">
        <v>48</v>
      </c>
      <c r="B8" s="3" t="n">
        <v>1</v>
      </c>
      <c r="C8" s="3" t="s">
        <v>17</v>
      </c>
      <c r="D8" s="3" t="n">
        <v>9</v>
      </c>
      <c r="E8" s="3" t="s">
        <v>18</v>
      </c>
      <c r="F8" s="3" t="s">
        <v>19</v>
      </c>
      <c r="G8" s="4" t="n">
        <v>6</v>
      </c>
      <c r="H8" s="5" t="s">
        <v>49</v>
      </c>
      <c r="I8" s="3" t="n">
        <v>380</v>
      </c>
      <c r="J8" s="3" t="s">
        <v>50</v>
      </c>
      <c r="K8" s="3" t="s">
        <v>51</v>
      </c>
      <c r="L8" s="3" t="n">
        <v>2025</v>
      </c>
      <c r="M8" s="3" t="s">
        <v>23</v>
      </c>
      <c r="N8" s="6" t="s">
        <v>52</v>
      </c>
      <c r="O8" s="3" t="s">
        <v>53</v>
      </c>
      <c r="P8" s="5" t="s">
        <v>54</v>
      </c>
    </row>
    <row r="9" customFormat="false" ht="23.25" hidden="false" customHeight="true" outlineLevel="0" collapsed="false">
      <c r="A9" s="3" t="s">
        <v>48</v>
      </c>
      <c r="B9" s="3" t="n">
        <v>1</v>
      </c>
      <c r="C9" s="3" t="s">
        <v>17</v>
      </c>
      <c r="D9" s="3" t="n">
        <v>9</v>
      </c>
      <c r="E9" s="3" t="s">
        <v>18</v>
      </c>
      <c r="F9" s="3" t="s">
        <v>19</v>
      </c>
      <c r="G9" s="4" t="n">
        <v>6</v>
      </c>
      <c r="H9" s="5" t="s">
        <v>55</v>
      </c>
      <c r="I9" s="3" t="n">
        <v>50</v>
      </c>
      <c r="J9" s="3" t="s">
        <v>50</v>
      </c>
      <c r="K9" s="3" t="s">
        <v>56</v>
      </c>
      <c r="L9" s="3" t="n">
        <v>2025</v>
      </c>
      <c r="M9" s="3" t="s">
        <v>57</v>
      </c>
      <c r="N9" s="6" t="s">
        <v>52</v>
      </c>
      <c r="O9" s="3" t="s">
        <v>53</v>
      </c>
      <c r="P9" s="5" t="s">
        <v>58</v>
      </c>
    </row>
    <row r="10" customFormat="false" ht="15" hidden="false" customHeight="true" outlineLevel="0" collapsed="false">
      <c r="A10" s="3" t="s">
        <v>48</v>
      </c>
      <c r="B10" s="3" t="n">
        <v>1</v>
      </c>
      <c r="C10" s="3" t="s">
        <v>17</v>
      </c>
      <c r="D10" s="3" t="n">
        <v>9</v>
      </c>
      <c r="E10" s="3" t="s">
        <v>18</v>
      </c>
      <c r="F10" s="3" t="s">
        <v>19</v>
      </c>
      <c r="G10" s="4" t="n">
        <v>6</v>
      </c>
      <c r="H10" s="5" t="s">
        <v>59</v>
      </c>
      <c r="I10" s="3" t="n">
        <v>10</v>
      </c>
      <c r="J10" s="3" t="s">
        <v>50</v>
      </c>
      <c r="K10" s="3" t="s">
        <v>60</v>
      </c>
      <c r="L10" s="3" t="n">
        <v>2025</v>
      </c>
      <c r="M10" s="3" t="s">
        <v>57</v>
      </c>
      <c r="N10" s="6" t="s">
        <v>52</v>
      </c>
      <c r="O10" s="3" t="s">
        <v>53</v>
      </c>
      <c r="P10" s="5" t="s">
        <v>61</v>
      </c>
    </row>
    <row r="11" customFormat="false" ht="23.25" hidden="false" customHeight="true" outlineLevel="0" collapsed="false">
      <c r="A11" s="3" t="s">
        <v>48</v>
      </c>
      <c r="B11" s="3" t="n">
        <v>1</v>
      </c>
      <c r="C11" s="3" t="s">
        <v>17</v>
      </c>
      <c r="D11" s="3" t="n">
        <v>9</v>
      </c>
      <c r="E11" s="3" t="s">
        <v>18</v>
      </c>
      <c r="F11" s="3" t="s">
        <v>27</v>
      </c>
      <c r="G11" s="4" t="n">
        <v>6</v>
      </c>
      <c r="H11" s="5" t="s">
        <v>62</v>
      </c>
      <c r="I11" s="3" t="n">
        <v>234</v>
      </c>
      <c r="J11" s="3" t="s">
        <v>50</v>
      </c>
      <c r="K11" s="3" t="s">
        <v>63</v>
      </c>
      <c r="L11" s="3" t="n">
        <v>2025</v>
      </c>
      <c r="M11" s="3" t="s">
        <v>23</v>
      </c>
      <c r="N11" s="6" t="s">
        <v>64</v>
      </c>
      <c r="O11" s="3" t="s">
        <v>65</v>
      </c>
      <c r="P11" s="5" t="s">
        <v>66</v>
      </c>
    </row>
    <row r="12" customFormat="false" ht="23.25" hidden="false" customHeight="true" outlineLevel="0" collapsed="false">
      <c r="A12" s="3" t="s">
        <v>48</v>
      </c>
      <c r="B12" s="3" t="n">
        <v>1</v>
      </c>
      <c r="C12" s="3" t="s">
        <v>17</v>
      </c>
      <c r="D12" s="3" t="n">
        <v>9</v>
      </c>
      <c r="E12" s="3" t="s">
        <v>18</v>
      </c>
      <c r="F12" s="3" t="s">
        <v>27</v>
      </c>
      <c r="G12" s="4" t="n">
        <v>6</v>
      </c>
      <c r="H12" s="5" t="s">
        <v>67</v>
      </c>
      <c r="I12" s="3" t="n">
        <v>100</v>
      </c>
      <c r="J12" s="3" t="s">
        <v>50</v>
      </c>
      <c r="K12" s="3" t="s">
        <v>68</v>
      </c>
      <c r="L12" s="3" t="n">
        <v>2025</v>
      </c>
      <c r="M12" s="3" t="s">
        <v>57</v>
      </c>
      <c r="N12" s="6" t="s">
        <v>64</v>
      </c>
      <c r="O12" s="3" t="s">
        <v>65</v>
      </c>
      <c r="P12" s="5" t="s">
        <v>69</v>
      </c>
    </row>
    <row r="13" customFormat="false" ht="15" hidden="false" customHeight="true" outlineLevel="0" collapsed="false">
      <c r="A13" s="3" t="s">
        <v>48</v>
      </c>
      <c r="B13" s="3" t="n">
        <v>1</v>
      </c>
      <c r="C13" s="3" t="s">
        <v>17</v>
      </c>
      <c r="D13" s="3" t="n">
        <v>9</v>
      </c>
      <c r="E13" s="3" t="s">
        <v>18</v>
      </c>
      <c r="F13" s="3" t="s">
        <v>27</v>
      </c>
      <c r="G13" s="4" t="n">
        <v>6</v>
      </c>
      <c r="H13" s="5" t="s">
        <v>59</v>
      </c>
      <c r="I13" s="3" t="n">
        <v>15</v>
      </c>
      <c r="J13" s="3" t="s">
        <v>50</v>
      </c>
      <c r="K13" s="3" t="s">
        <v>60</v>
      </c>
      <c r="L13" s="3" t="n">
        <v>2025</v>
      </c>
      <c r="M13" s="3" t="s">
        <v>57</v>
      </c>
      <c r="N13" s="6" t="s">
        <v>64</v>
      </c>
      <c r="O13" s="3" t="s">
        <v>65</v>
      </c>
      <c r="P13" s="5" t="s">
        <v>70</v>
      </c>
    </row>
    <row r="14" customFormat="false" ht="15" hidden="false" customHeight="true" outlineLevel="0" collapsed="false">
      <c r="A14" s="3" t="s">
        <v>48</v>
      </c>
      <c r="B14" s="3" t="n">
        <v>1</v>
      </c>
      <c r="C14" s="3" t="s">
        <v>17</v>
      </c>
      <c r="D14" s="3" t="n">
        <v>9</v>
      </c>
      <c r="E14" s="3" t="s">
        <v>18</v>
      </c>
      <c r="F14" s="3" t="s">
        <v>34</v>
      </c>
      <c r="G14" s="4" t="n">
        <v>5</v>
      </c>
      <c r="H14" s="5" t="s">
        <v>71</v>
      </c>
      <c r="I14" s="3" t="n">
        <v>150</v>
      </c>
      <c r="J14" s="3" t="s">
        <v>50</v>
      </c>
      <c r="K14" s="3" t="s">
        <v>72</v>
      </c>
      <c r="L14" s="3" t="n">
        <v>2025</v>
      </c>
      <c r="M14" s="3" t="s">
        <v>23</v>
      </c>
      <c r="N14" s="6" t="s">
        <v>52</v>
      </c>
      <c r="O14" s="3" t="s">
        <v>53</v>
      </c>
      <c r="P14" s="5" t="s">
        <v>73</v>
      </c>
    </row>
    <row r="15" customFormat="false" ht="15" hidden="false" customHeight="true" outlineLevel="0" collapsed="false">
      <c r="A15" s="3" t="s">
        <v>48</v>
      </c>
      <c r="B15" s="3" t="n">
        <v>1</v>
      </c>
      <c r="C15" s="3" t="s">
        <v>17</v>
      </c>
      <c r="D15" s="3" t="n">
        <v>9</v>
      </c>
      <c r="E15" s="3" t="s">
        <v>18</v>
      </c>
      <c r="F15" s="3" t="s">
        <v>34</v>
      </c>
      <c r="G15" s="4" t="n">
        <v>5</v>
      </c>
      <c r="H15" s="5" t="s">
        <v>74</v>
      </c>
      <c r="I15" s="3" t="n">
        <v>20</v>
      </c>
      <c r="J15" s="3" t="s">
        <v>50</v>
      </c>
      <c r="K15" s="3" t="s">
        <v>75</v>
      </c>
      <c r="L15" s="3" t="n">
        <v>2025</v>
      </c>
      <c r="M15" s="3" t="s">
        <v>57</v>
      </c>
      <c r="N15" s="6" t="s">
        <v>52</v>
      </c>
      <c r="O15" s="3" t="s">
        <v>53</v>
      </c>
      <c r="P15" s="5" t="s">
        <v>76</v>
      </c>
    </row>
    <row r="16" customFormat="false" ht="15" hidden="false" customHeight="true" outlineLevel="0" collapsed="false">
      <c r="A16" s="3" t="s">
        <v>77</v>
      </c>
      <c r="B16" s="3" t="n">
        <v>1</v>
      </c>
      <c r="C16" s="3" t="s">
        <v>17</v>
      </c>
      <c r="D16" s="3" t="n">
        <v>9</v>
      </c>
      <c r="E16" s="3" t="s">
        <v>18</v>
      </c>
      <c r="F16" s="3" t="s">
        <v>19</v>
      </c>
      <c r="G16" s="4" t="n">
        <v>5</v>
      </c>
      <c r="H16" s="5" t="s">
        <v>78</v>
      </c>
      <c r="I16" s="3" t="n">
        <v>93</v>
      </c>
      <c r="J16" s="3" t="s">
        <v>79</v>
      </c>
      <c r="K16" s="3" t="s">
        <v>80</v>
      </c>
      <c r="L16" s="3" t="n">
        <v>2024</v>
      </c>
      <c r="M16" s="3" t="s">
        <v>23</v>
      </c>
      <c r="N16" s="6" t="s">
        <v>81</v>
      </c>
      <c r="O16" s="3" t="s">
        <v>82</v>
      </c>
      <c r="P16" s="5" t="s">
        <v>83</v>
      </c>
    </row>
    <row r="17" customFormat="false" ht="23.25" hidden="false" customHeight="true" outlineLevel="0" collapsed="false">
      <c r="A17" s="3" t="s">
        <v>77</v>
      </c>
      <c r="B17" s="3" t="n">
        <v>1</v>
      </c>
      <c r="C17" s="3" t="s">
        <v>17</v>
      </c>
      <c r="D17" s="3" t="n">
        <v>9</v>
      </c>
      <c r="E17" s="3" t="s">
        <v>18</v>
      </c>
      <c r="F17" s="3" t="s">
        <v>19</v>
      </c>
      <c r="G17" s="4" t="n">
        <v>5</v>
      </c>
      <c r="H17" s="5" t="s">
        <v>84</v>
      </c>
      <c r="I17" s="3" t="n">
        <v>98</v>
      </c>
      <c r="J17" s="3" t="s">
        <v>79</v>
      </c>
      <c r="K17" s="3" t="s">
        <v>85</v>
      </c>
      <c r="L17" s="3" t="n">
        <v>2025</v>
      </c>
      <c r="M17" s="3" t="s">
        <v>37</v>
      </c>
      <c r="N17" s="6" t="s">
        <v>81</v>
      </c>
      <c r="O17" s="3" t="s">
        <v>82</v>
      </c>
      <c r="P17" s="5" t="s">
        <v>86</v>
      </c>
    </row>
    <row r="18" customFormat="false" ht="23.25" hidden="false" customHeight="true" outlineLevel="0" collapsed="false">
      <c r="A18" s="3" t="s">
        <v>77</v>
      </c>
      <c r="B18" s="3" t="n">
        <v>1</v>
      </c>
      <c r="C18" s="3" t="s">
        <v>17</v>
      </c>
      <c r="D18" s="3" t="n">
        <v>9</v>
      </c>
      <c r="E18" s="3" t="s">
        <v>18</v>
      </c>
      <c r="F18" s="3" t="s">
        <v>27</v>
      </c>
      <c r="G18" s="4" t="n">
        <v>5</v>
      </c>
      <c r="H18" s="5" t="s">
        <v>87</v>
      </c>
      <c r="I18" s="3" t="n">
        <v>98</v>
      </c>
      <c r="J18" s="3" t="s">
        <v>79</v>
      </c>
      <c r="K18" s="3" t="s">
        <v>88</v>
      </c>
      <c r="L18" s="3" t="n">
        <v>2030</v>
      </c>
      <c r="M18" s="3" t="s">
        <v>37</v>
      </c>
      <c r="N18" s="6" t="s">
        <v>81</v>
      </c>
      <c r="O18" s="3" t="s">
        <v>82</v>
      </c>
      <c r="P18" s="5" t="s">
        <v>89</v>
      </c>
    </row>
    <row r="19" customFormat="false" ht="15" hidden="false" customHeight="true" outlineLevel="0" collapsed="false">
      <c r="A19" s="3" t="s">
        <v>77</v>
      </c>
      <c r="B19" s="3" t="n">
        <v>1</v>
      </c>
      <c r="C19" s="3" t="s">
        <v>17</v>
      </c>
      <c r="D19" s="3" t="n">
        <v>9</v>
      </c>
      <c r="E19" s="3" t="s">
        <v>18</v>
      </c>
      <c r="F19" s="3" t="s">
        <v>34</v>
      </c>
      <c r="G19" s="4" t="n">
        <v>5</v>
      </c>
      <c r="H19" s="5" t="s">
        <v>90</v>
      </c>
      <c r="I19" s="3" t="n">
        <v>93</v>
      </c>
      <c r="J19" s="3" t="s">
        <v>79</v>
      </c>
      <c r="K19" s="3" t="s">
        <v>91</v>
      </c>
      <c r="L19" s="3" t="n">
        <v>2024</v>
      </c>
      <c r="M19" s="3" t="s">
        <v>23</v>
      </c>
      <c r="N19" s="6" t="s">
        <v>81</v>
      </c>
      <c r="O19" s="3" t="s">
        <v>82</v>
      </c>
      <c r="P19" s="5" t="s">
        <v>92</v>
      </c>
    </row>
    <row r="20" customFormat="false" ht="15" hidden="false" customHeight="true" outlineLevel="0" collapsed="false">
      <c r="A20" s="3" t="s">
        <v>77</v>
      </c>
      <c r="B20" s="3" t="n">
        <v>1</v>
      </c>
      <c r="C20" s="3" t="s">
        <v>17</v>
      </c>
      <c r="D20" s="3" t="n">
        <v>9</v>
      </c>
      <c r="E20" s="3" t="s">
        <v>18</v>
      </c>
      <c r="F20" s="3" t="s">
        <v>34</v>
      </c>
      <c r="G20" s="4" t="n">
        <v>5</v>
      </c>
      <c r="H20" s="5" t="s">
        <v>93</v>
      </c>
      <c r="I20" s="3" t="n">
        <v>95</v>
      </c>
      <c r="J20" s="3" t="s">
        <v>79</v>
      </c>
      <c r="K20" s="3" t="s">
        <v>94</v>
      </c>
      <c r="L20" s="3" t="n">
        <v>2030</v>
      </c>
      <c r="M20" s="3" t="s">
        <v>37</v>
      </c>
      <c r="N20" s="6" t="s">
        <v>95</v>
      </c>
      <c r="O20" s="3" t="s">
        <v>96</v>
      </c>
      <c r="P20" s="5" t="s">
        <v>97</v>
      </c>
    </row>
    <row r="21" customFormat="false" ht="15" hidden="false" customHeight="true" outlineLevel="0" collapsed="false">
      <c r="A21" s="3" t="s">
        <v>98</v>
      </c>
      <c r="B21" s="3" t="n">
        <v>1</v>
      </c>
      <c r="C21" s="3" t="s">
        <v>17</v>
      </c>
      <c r="D21" s="3" t="n">
        <v>9</v>
      </c>
      <c r="E21" s="3" t="s">
        <v>18</v>
      </c>
      <c r="F21" s="3" t="s">
        <v>19</v>
      </c>
      <c r="G21" s="4" t="n">
        <v>4</v>
      </c>
      <c r="H21" s="5" t="s">
        <v>99</v>
      </c>
      <c r="I21" s="3" t="n">
        <v>42</v>
      </c>
      <c r="J21" s="3" t="s">
        <v>79</v>
      </c>
      <c r="K21" s="3" t="s">
        <v>100</v>
      </c>
      <c r="L21" s="3" t="n">
        <v>2024</v>
      </c>
      <c r="M21" s="3" t="s">
        <v>23</v>
      </c>
      <c r="N21" s="6" t="s">
        <v>81</v>
      </c>
      <c r="O21" s="3" t="s">
        <v>82</v>
      </c>
      <c r="P21" s="5" t="s">
        <v>101</v>
      </c>
    </row>
    <row r="22" customFormat="false" ht="23.25" hidden="false" customHeight="true" outlineLevel="0" collapsed="false">
      <c r="A22" s="3" t="s">
        <v>98</v>
      </c>
      <c r="B22" s="3" t="n">
        <v>1</v>
      </c>
      <c r="C22" s="3" t="s">
        <v>17</v>
      </c>
      <c r="D22" s="3" t="n">
        <v>9</v>
      </c>
      <c r="E22" s="3" t="s">
        <v>18</v>
      </c>
      <c r="F22" s="3" t="s">
        <v>19</v>
      </c>
      <c r="G22" s="4" t="n">
        <v>4</v>
      </c>
      <c r="H22" s="5" t="s">
        <v>102</v>
      </c>
      <c r="I22" s="3" t="n">
        <v>75</v>
      </c>
      <c r="J22" s="3" t="s">
        <v>79</v>
      </c>
      <c r="K22" s="3" t="s">
        <v>103</v>
      </c>
      <c r="L22" s="3" t="n">
        <v>2025</v>
      </c>
      <c r="M22" s="3" t="s">
        <v>37</v>
      </c>
      <c r="N22" s="6" t="s">
        <v>81</v>
      </c>
      <c r="O22" s="3" t="s">
        <v>82</v>
      </c>
      <c r="P22" s="5" t="s">
        <v>104</v>
      </c>
    </row>
    <row r="23" customFormat="false" ht="23.25" hidden="false" customHeight="true" outlineLevel="0" collapsed="false">
      <c r="A23" s="3" t="s">
        <v>98</v>
      </c>
      <c r="B23" s="3" t="n">
        <v>1</v>
      </c>
      <c r="C23" s="3" t="s">
        <v>17</v>
      </c>
      <c r="D23" s="3" t="n">
        <v>9</v>
      </c>
      <c r="E23" s="3" t="s">
        <v>18</v>
      </c>
      <c r="F23" s="3" t="s">
        <v>27</v>
      </c>
      <c r="G23" s="4" t="n">
        <v>5</v>
      </c>
      <c r="H23" s="5" t="s">
        <v>105</v>
      </c>
      <c r="I23" s="3" t="n">
        <v>75</v>
      </c>
      <c r="J23" s="3" t="s">
        <v>79</v>
      </c>
      <c r="K23" s="3" t="s">
        <v>106</v>
      </c>
      <c r="L23" s="3" t="n">
        <v>2030</v>
      </c>
      <c r="M23" s="3" t="s">
        <v>37</v>
      </c>
      <c r="N23" s="6" t="s">
        <v>81</v>
      </c>
      <c r="O23" s="3" t="s">
        <v>82</v>
      </c>
      <c r="P23" s="5" t="s">
        <v>107</v>
      </c>
    </row>
    <row r="24" customFormat="false" ht="15" hidden="false" customHeight="true" outlineLevel="0" collapsed="false">
      <c r="A24" s="3" t="s">
        <v>98</v>
      </c>
      <c r="B24" s="3" t="n">
        <v>1</v>
      </c>
      <c r="C24" s="3" t="s">
        <v>17</v>
      </c>
      <c r="D24" s="3" t="n">
        <v>9</v>
      </c>
      <c r="E24" s="3" t="s">
        <v>18</v>
      </c>
      <c r="F24" s="3" t="s">
        <v>27</v>
      </c>
      <c r="G24" s="4" t="n">
        <v>5</v>
      </c>
      <c r="H24" s="5" t="s">
        <v>108</v>
      </c>
      <c r="I24" s="3" t="n">
        <v>0.012</v>
      </c>
      <c r="J24" s="3" t="s">
        <v>109</v>
      </c>
      <c r="K24" s="3" t="s">
        <v>110</v>
      </c>
      <c r="L24" s="3" t="n">
        <v>2024</v>
      </c>
      <c r="M24" s="3" t="s">
        <v>23</v>
      </c>
      <c r="N24" s="6" t="s">
        <v>111</v>
      </c>
      <c r="O24" s="3" t="s">
        <v>112</v>
      </c>
      <c r="P24" s="5" t="s">
        <v>113</v>
      </c>
    </row>
    <row r="25" customFormat="false" ht="15" hidden="false" customHeight="true" outlineLevel="0" collapsed="false">
      <c r="A25" s="3" t="s">
        <v>98</v>
      </c>
      <c r="B25" s="3" t="n">
        <v>1</v>
      </c>
      <c r="C25" s="3" t="s">
        <v>17</v>
      </c>
      <c r="D25" s="3" t="n">
        <v>9</v>
      </c>
      <c r="E25" s="3" t="s">
        <v>18</v>
      </c>
      <c r="F25" s="3" t="s">
        <v>34</v>
      </c>
      <c r="G25" s="4" t="n">
        <v>7</v>
      </c>
      <c r="H25" s="5" t="s">
        <v>114</v>
      </c>
      <c r="I25" s="3" t="n">
        <v>42</v>
      </c>
      <c r="J25" s="3" t="s">
        <v>79</v>
      </c>
      <c r="K25" s="3" t="s">
        <v>91</v>
      </c>
      <c r="L25" s="3" t="n">
        <v>2024</v>
      </c>
      <c r="M25" s="3" t="s">
        <v>23</v>
      </c>
      <c r="N25" s="6" t="s">
        <v>81</v>
      </c>
      <c r="O25" s="3" t="s">
        <v>82</v>
      </c>
      <c r="P25" s="5" t="s">
        <v>115</v>
      </c>
    </row>
    <row r="26" customFormat="false" ht="15" hidden="false" customHeight="true" outlineLevel="0" collapsed="false">
      <c r="A26" s="3" t="s">
        <v>98</v>
      </c>
      <c r="B26" s="3" t="n">
        <v>1</v>
      </c>
      <c r="C26" s="3" t="s">
        <v>17</v>
      </c>
      <c r="D26" s="3" t="n">
        <v>9</v>
      </c>
      <c r="E26" s="3" t="s">
        <v>18</v>
      </c>
      <c r="F26" s="3" t="s">
        <v>34</v>
      </c>
      <c r="G26" s="4" t="n">
        <v>7</v>
      </c>
      <c r="H26" s="5" t="s">
        <v>116</v>
      </c>
      <c r="I26" s="3" t="n">
        <v>80</v>
      </c>
      <c r="J26" s="3" t="s">
        <v>79</v>
      </c>
      <c r="K26" s="3" t="s">
        <v>117</v>
      </c>
      <c r="L26" s="3" t="n">
        <v>2030</v>
      </c>
      <c r="M26" s="3" t="s">
        <v>37</v>
      </c>
      <c r="N26" s="6" t="s">
        <v>95</v>
      </c>
      <c r="O26" s="3" t="s">
        <v>96</v>
      </c>
      <c r="P26" s="5" t="s">
        <v>118</v>
      </c>
    </row>
    <row r="27" customFormat="false" ht="15" hidden="false" customHeight="true" outlineLevel="0" collapsed="false">
      <c r="A27" s="3" t="s">
        <v>119</v>
      </c>
      <c r="B27" s="3" t="n">
        <v>2</v>
      </c>
      <c r="C27" s="3" t="s">
        <v>17</v>
      </c>
      <c r="D27" s="3" t="n">
        <v>8</v>
      </c>
      <c r="E27" s="3" t="s">
        <v>18</v>
      </c>
      <c r="F27" s="3" t="s">
        <v>19</v>
      </c>
      <c r="G27" s="4" t="n">
        <v>8</v>
      </c>
      <c r="H27" s="5" t="s">
        <v>120</v>
      </c>
      <c r="I27" s="3" t="n">
        <v>3</v>
      </c>
      <c r="J27" s="3" t="s">
        <v>121</v>
      </c>
      <c r="K27" s="3" t="s">
        <v>122</v>
      </c>
      <c r="L27" s="3" t="n">
        <v>2025</v>
      </c>
      <c r="M27" s="3" t="s">
        <v>37</v>
      </c>
      <c r="N27" s="6" t="s">
        <v>123</v>
      </c>
      <c r="O27" s="3" t="s">
        <v>124</v>
      </c>
      <c r="P27" s="5" t="s">
        <v>125</v>
      </c>
    </row>
    <row r="28" customFormat="false" ht="23.25" hidden="false" customHeight="true" outlineLevel="0" collapsed="false">
      <c r="A28" s="3" t="s">
        <v>119</v>
      </c>
      <c r="B28" s="3" t="n">
        <v>2</v>
      </c>
      <c r="C28" s="3" t="s">
        <v>17</v>
      </c>
      <c r="D28" s="3" t="n">
        <v>8</v>
      </c>
      <c r="E28" s="3" t="s">
        <v>18</v>
      </c>
      <c r="F28" s="3" t="s">
        <v>27</v>
      </c>
      <c r="G28" s="4" t="n">
        <v>1</v>
      </c>
      <c r="H28" s="5" t="s">
        <v>126</v>
      </c>
      <c r="I28" s="3" t="n">
        <v>270</v>
      </c>
      <c r="J28" s="3" t="s">
        <v>121</v>
      </c>
      <c r="K28" s="3" t="s">
        <v>127</v>
      </c>
      <c r="L28" s="3" t="n">
        <v>2025</v>
      </c>
      <c r="M28" s="3" t="s">
        <v>23</v>
      </c>
      <c r="N28" s="6" t="s">
        <v>128</v>
      </c>
      <c r="O28" s="3" t="s">
        <v>129</v>
      </c>
      <c r="P28" s="5" t="s">
        <v>130</v>
      </c>
    </row>
    <row r="29" customFormat="false" ht="23.25" hidden="false" customHeight="true" outlineLevel="0" collapsed="false">
      <c r="A29" s="3" t="s">
        <v>119</v>
      </c>
      <c r="B29" s="3" t="n">
        <v>2</v>
      </c>
      <c r="C29" s="3" t="s">
        <v>17</v>
      </c>
      <c r="D29" s="3" t="n">
        <v>8</v>
      </c>
      <c r="E29" s="3" t="s">
        <v>18</v>
      </c>
      <c r="F29" s="3" t="s">
        <v>34</v>
      </c>
      <c r="G29" s="4" t="n">
        <v>7</v>
      </c>
      <c r="H29" s="5" t="s">
        <v>131</v>
      </c>
      <c r="I29" s="3" t="n">
        <v>1</v>
      </c>
      <c r="J29" s="3" t="s">
        <v>121</v>
      </c>
      <c r="K29" s="3" t="s">
        <v>132</v>
      </c>
      <c r="L29" s="3" t="n">
        <v>2025</v>
      </c>
      <c r="M29" s="3" t="s">
        <v>23</v>
      </c>
      <c r="N29" s="6" t="s">
        <v>133</v>
      </c>
      <c r="O29" s="3" t="s">
        <v>134</v>
      </c>
      <c r="P29" s="5" t="s">
        <v>135</v>
      </c>
    </row>
    <row r="30" customFormat="false" ht="15" hidden="false" customHeight="true" outlineLevel="0" collapsed="false">
      <c r="A30" s="3" t="s">
        <v>136</v>
      </c>
      <c r="B30" s="3" t="n">
        <v>2</v>
      </c>
      <c r="C30" s="3" t="s">
        <v>17</v>
      </c>
      <c r="D30" s="3" t="n">
        <v>8</v>
      </c>
      <c r="E30" s="3" t="s">
        <v>18</v>
      </c>
      <c r="F30" s="3" t="s">
        <v>19</v>
      </c>
      <c r="G30" s="4" t="n">
        <v>8</v>
      </c>
      <c r="H30" s="5" t="s">
        <v>137</v>
      </c>
      <c r="I30" s="3" t="n">
        <v>12</v>
      </c>
      <c r="J30" s="3" t="s">
        <v>138</v>
      </c>
      <c r="K30" s="3" t="s">
        <v>139</v>
      </c>
      <c r="L30" s="3" t="n">
        <v>2025</v>
      </c>
      <c r="M30" s="3" t="s">
        <v>23</v>
      </c>
      <c r="N30" s="6" t="s">
        <v>140</v>
      </c>
      <c r="O30" s="3" t="s">
        <v>141</v>
      </c>
      <c r="P30" s="5" t="s">
        <v>142</v>
      </c>
    </row>
    <row r="31" customFormat="false" ht="15" hidden="false" customHeight="true" outlineLevel="0" collapsed="false">
      <c r="A31" s="3" t="s">
        <v>136</v>
      </c>
      <c r="B31" s="3" t="n">
        <v>2</v>
      </c>
      <c r="C31" s="3" t="s">
        <v>17</v>
      </c>
      <c r="D31" s="3" t="n">
        <v>8</v>
      </c>
      <c r="E31" s="3" t="s">
        <v>18</v>
      </c>
      <c r="F31" s="3" t="s">
        <v>27</v>
      </c>
      <c r="G31" s="4" t="n">
        <v>2</v>
      </c>
      <c r="H31" s="5" t="s">
        <v>137</v>
      </c>
      <c r="I31" s="3" t="n">
        <v>0.46</v>
      </c>
      <c r="J31" s="3" t="s">
        <v>138</v>
      </c>
      <c r="K31" s="3" t="s">
        <v>143</v>
      </c>
      <c r="L31" s="3" t="n">
        <v>2025</v>
      </c>
      <c r="M31" s="3" t="s">
        <v>23</v>
      </c>
      <c r="N31" s="6" t="s">
        <v>128</v>
      </c>
      <c r="O31" s="3" t="s">
        <v>129</v>
      </c>
      <c r="P31" s="5" t="s">
        <v>144</v>
      </c>
    </row>
    <row r="32" customFormat="false" ht="15" hidden="false" customHeight="true" outlineLevel="0" collapsed="false">
      <c r="A32" s="3" t="s">
        <v>136</v>
      </c>
      <c r="B32" s="3" t="n">
        <v>2</v>
      </c>
      <c r="C32" s="3" t="s">
        <v>17</v>
      </c>
      <c r="D32" s="3" t="n">
        <v>8</v>
      </c>
      <c r="E32" s="3" t="s">
        <v>18</v>
      </c>
      <c r="F32" s="3" t="s">
        <v>34</v>
      </c>
      <c r="G32" s="4" t="n">
        <v>7</v>
      </c>
      <c r="H32" s="5" t="s">
        <v>145</v>
      </c>
      <c r="I32" s="3" t="n">
        <v>12</v>
      </c>
      <c r="J32" s="3" t="s">
        <v>138</v>
      </c>
      <c r="K32" s="3" t="s">
        <v>146</v>
      </c>
      <c r="L32" s="3" t="n">
        <v>2025</v>
      </c>
      <c r="M32" s="3" t="s">
        <v>23</v>
      </c>
      <c r="N32" s="6" t="s">
        <v>140</v>
      </c>
      <c r="O32" s="3" t="s">
        <v>141</v>
      </c>
      <c r="P32" s="5" t="s">
        <v>147</v>
      </c>
    </row>
    <row r="33" customFormat="false" ht="15" hidden="false" customHeight="true" outlineLevel="0" collapsed="false">
      <c r="A33" s="3" t="s">
        <v>148</v>
      </c>
      <c r="B33" s="3" t="n">
        <v>2</v>
      </c>
      <c r="C33" s="3" t="s">
        <v>149</v>
      </c>
      <c r="D33" s="3" t="n">
        <v>5</v>
      </c>
      <c r="E33" s="3" t="s">
        <v>150</v>
      </c>
      <c r="F33" s="3" t="s">
        <v>19</v>
      </c>
      <c r="G33" s="4" t="n">
        <v>9</v>
      </c>
      <c r="H33" s="5" t="s">
        <v>151</v>
      </c>
      <c r="I33" s="3" t="n">
        <v>1.3</v>
      </c>
      <c r="J33" s="3" t="s">
        <v>152</v>
      </c>
      <c r="K33" s="3" t="s">
        <v>153</v>
      </c>
      <c r="L33" s="3" t="n">
        <v>2025</v>
      </c>
      <c r="M33" s="3" t="s">
        <v>23</v>
      </c>
      <c r="N33" s="6" t="s">
        <v>140</v>
      </c>
      <c r="O33" s="3" t="s">
        <v>141</v>
      </c>
      <c r="P33" s="5" t="s">
        <v>154</v>
      </c>
    </row>
    <row r="34" customFormat="false" ht="23.25" hidden="false" customHeight="true" outlineLevel="0" collapsed="false">
      <c r="A34" s="3" t="s">
        <v>148</v>
      </c>
      <c r="B34" s="3" t="n">
        <v>2</v>
      </c>
      <c r="C34" s="3" t="s">
        <v>149</v>
      </c>
      <c r="D34" s="3" t="n">
        <v>5</v>
      </c>
      <c r="E34" s="3" t="s">
        <v>150</v>
      </c>
      <c r="F34" s="3" t="s">
        <v>27</v>
      </c>
      <c r="G34" s="4" t="n">
        <v>2</v>
      </c>
      <c r="H34" s="5" t="s">
        <v>155</v>
      </c>
      <c r="I34" s="3" t="n">
        <v>750</v>
      </c>
      <c r="J34" s="3" t="s">
        <v>152</v>
      </c>
      <c r="K34" s="3" t="s">
        <v>156</v>
      </c>
      <c r="L34" s="3" t="n">
        <v>2025</v>
      </c>
      <c r="M34" s="3" t="s">
        <v>23</v>
      </c>
      <c r="N34" s="6" t="s">
        <v>140</v>
      </c>
      <c r="O34" s="3" t="s">
        <v>141</v>
      </c>
      <c r="P34" s="5" t="s">
        <v>157</v>
      </c>
    </row>
    <row r="35" customFormat="false" ht="15" hidden="false" customHeight="true" outlineLevel="0" collapsed="false">
      <c r="A35" s="3" t="s">
        <v>148</v>
      </c>
      <c r="B35" s="3" t="n">
        <v>2</v>
      </c>
      <c r="C35" s="3" t="s">
        <v>149</v>
      </c>
      <c r="D35" s="3" t="n">
        <v>5</v>
      </c>
      <c r="E35" s="3" t="s">
        <v>150</v>
      </c>
      <c r="F35" s="3" t="s">
        <v>34</v>
      </c>
      <c r="G35" s="4" t="n">
        <v>8</v>
      </c>
      <c r="H35" s="5" t="s">
        <v>158</v>
      </c>
      <c r="I35" s="3" t="n">
        <v>0.03</v>
      </c>
      <c r="J35" s="3" t="s">
        <v>152</v>
      </c>
      <c r="K35" s="3" t="s">
        <v>159</v>
      </c>
      <c r="L35" s="3" t="n">
        <v>2025</v>
      </c>
      <c r="M35" s="3" t="s">
        <v>23</v>
      </c>
      <c r="N35" s="6" t="s">
        <v>140</v>
      </c>
      <c r="O35" s="3" t="s">
        <v>141</v>
      </c>
      <c r="P35" s="5" t="s">
        <v>160</v>
      </c>
    </row>
    <row r="36" customFormat="false" ht="23.25" hidden="false" customHeight="true" outlineLevel="0" collapsed="false">
      <c r="A36" s="3" t="s">
        <v>161</v>
      </c>
      <c r="B36" s="3" t="n">
        <v>2</v>
      </c>
      <c r="C36" s="3" t="s">
        <v>149</v>
      </c>
      <c r="D36" s="3" t="n">
        <v>6</v>
      </c>
      <c r="E36" s="3" t="s">
        <v>150</v>
      </c>
      <c r="F36" s="3" t="s">
        <v>19</v>
      </c>
      <c r="G36" s="4" t="n">
        <v>7</v>
      </c>
      <c r="H36" s="5" t="s">
        <v>162</v>
      </c>
      <c r="I36" s="3" t="s">
        <v>163</v>
      </c>
      <c r="J36" s="3" t="s">
        <v>163</v>
      </c>
      <c r="K36" s="3" t="s">
        <v>164</v>
      </c>
      <c r="L36" s="3" t="n">
        <v>2025</v>
      </c>
      <c r="M36" s="3" t="s">
        <v>165</v>
      </c>
      <c r="N36" s="6" t="s">
        <v>166</v>
      </c>
      <c r="O36" s="3" t="s">
        <v>167</v>
      </c>
      <c r="P36" s="5" t="s">
        <v>168</v>
      </c>
    </row>
    <row r="37" customFormat="false" ht="23.25" hidden="false" customHeight="true" outlineLevel="0" collapsed="false">
      <c r="A37" s="3" t="s">
        <v>161</v>
      </c>
      <c r="B37" s="3" t="n">
        <v>2</v>
      </c>
      <c r="C37" s="3" t="s">
        <v>149</v>
      </c>
      <c r="D37" s="3" t="n">
        <v>6</v>
      </c>
      <c r="E37" s="3" t="s">
        <v>150</v>
      </c>
      <c r="F37" s="3" t="s">
        <v>27</v>
      </c>
      <c r="G37" s="4" t="n">
        <v>3</v>
      </c>
      <c r="H37" s="5" t="s">
        <v>162</v>
      </c>
      <c r="I37" s="3" t="s">
        <v>163</v>
      </c>
      <c r="J37" s="3" t="s">
        <v>163</v>
      </c>
      <c r="K37" s="3" t="s">
        <v>164</v>
      </c>
      <c r="L37" s="3" t="n">
        <v>2025</v>
      </c>
      <c r="M37" s="3" t="s">
        <v>165</v>
      </c>
      <c r="N37" s="6" t="s">
        <v>166</v>
      </c>
      <c r="O37" s="3" t="s">
        <v>167</v>
      </c>
      <c r="P37" s="5" t="s">
        <v>169</v>
      </c>
    </row>
    <row r="38" customFormat="false" ht="23.25" hidden="false" customHeight="true" outlineLevel="0" collapsed="false">
      <c r="A38" s="3" t="s">
        <v>161</v>
      </c>
      <c r="B38" s="3" t="n">
        <v>2</v>
      </c>
      <c r="C38" s="3" t="s">
        <v>149</v>
      </c>
      <c r="D38" s="3" t="n">
        <v>6</v>
      </c>
      <c r="E38" s="3" t="s">
        <v>150</v>
      </c>
      <c r="F38" s="3" t="s">
        <v>34</v>
      </c>
      <c r="G38" s="4" t="n">
        <v>6</v>
      </c>
      <c r="H38" s="5" t="s">
        <v>162</v>
      </c>
      <c r="I38" s="3" t="s">
        <v>163</v>
      </c>
      <c r="J38" s="3" t="s">
        <v>163</v>
      </c>
      <c r="K38" s="3" t="s">
        <v>164</v>
      </c>
      <c r="L38" s="3" t="n">
        <v>2025</v>
      </c>
      <c r="M38" s="3" t="s">
        <v>165</v>
      </c>
      <c r="N38" s="6" t="s">
        <v>166</v>
      </c>
      <c r="O38" s="3" t="s">
        <v>167</v>
      </c>
      <c r="P38" s="5" t="s">
        <v>170</v>
      </c>
    </row>
    <row r="39" customFormat="false" ht="15" hidden="false" customHeight="true" outlineLevel="0" collapsed="false">
      <c r="A39" s="3" t="s">
        <v>171</v>
      </c>
      <c r="B39" s="3" t="n">
        <v>3</v>
      </c>
      <c r="C39" s="3" t="s">
        <v>149</v>
      </c>
      <c r="D39" s="3" t="n">
        <v>7</v>
      </c>
      <c r="E39" s="3" t="s">
        <v>150</v>
      </c>
      <c r="F39" s="3" t="s">
        <v>19</v>
      </c>
      <c r="G39" s="4" t="n">
        <v>7</v>
      </c>
      <c r="H39" s="5" t="s">
        <v>172</v>
      </c>
      <c r="I39" s="3" t="n">
        <v>10</v>
      </c>
      <c r="J39" s="3" t="s">
        <v>109</v>
      </c>
      <c r="K39" s="3" t="s">
        <v>173</v>
      </c>
      <c r="L39" s="3" t="n">
        <v>2032</v>
      </c>
      <c r="M39" s="3" t="s">
        <v>37</v>
      </c>
      <c r="N39" s="6" t="s">
        <v>174</v>
      </c>
      <c r="O39" s="3" t="s">
        <v>175</v>
      </c>
      <c r="P39" s="5" t="s">
        <v>176</v>
      </c>
    </row>
    <row r="40" customFormat="false" ht="23.25" hidden="false" customHeight="true" outlineLevel="0" collapsed="false">
      <c r="A40" s="3" t="s">
        <v>171</v>
      </c>
      <c r="B40" s="3" t="n">
        <v>3</v>
      </c>
      <c r="C40" s="3" t="s">
        <v>149</v>
      </c>
      <c r="D40" s="3" t="n">
        <v>7</v>
      </c>
      <c r="E40" s="3" t="s">
        <v>150</v>
      </c>
      <c r="F40" s="3" t="s">
        <v>19</v>
      </c>
      <c r="G40" s="4" t="n">
        <v>7</v>
      </c>
      <c r="H40" s="5" t="s">
        <v>177</v>
      </c>
      <c r="I40" s="3" t="n">
        <v>50</v>
      </c>
      <c r="J40" s="3" t="s">
        <v>109</v>
      </c>
      <c r="K40" s="3" t="s">
        <v>178</v>
      </c>
      <c r="L40" s="3" t="n">
        <v>2032</v>
      </c>
      <c r="M40" s="3" t="s">
        <v>37</v>
      </c>
      <c r="N40" s="6" t="s">
        <v>174</v>
      </c>
      <c r="O40" s="3" t="s">
        <v>175</v>
      </c>
      <c r="P40" s="5" t="s">
        <v>179</v>
      </c>
    </row>
    <row r="41" customFormat="false" ht="15" hidden="false" customHeight="true" outlineLevel="0" collapsed="false">
      <c r="A41" s="3" t="s">
        <v>171</v>
      </c>
      <c r="B41" s="3" t="n">
        <v>3</v>
      </c>
      <c r="C41" s="3" t="s">
        <v>149</v>
      </c>
      <c r="D41" s="3" t="n">
        <v>7</v>
      </c>
      <c r="E41" s="3" t="s">
        <v>150</v>
      </c>
      <c r="F41" s="3" t="s">
        <v>27</v>
      </c>
      <c r="G41" s="4" t="n">
        <v>7</v>
      </c>
      <c r="H41" s="5" t="s">
        <v>180</v>
      </c>
      <c r="I41" s="3" t="n">
        <v>2</v>
      </c>
      <c r="J41" s="3" t="s">
        <v>109</v>
      </c>
      <c r="K41" s="3" t="s">
        <v>181</v>
      </c>
      <c r="L41" s="3" t="n">
        <v>2035</v>
      </c>
      <c r="M41" s="3" t="s">
        <v>37</v>
      </c>
      <c r="N41" s="6" t="s">
        <v>111</v>
      </c>
      <c r="O41" s="3" t="s">
        <v>112</v>
      </c>
      <c r="P41" s="5" t="s">
        <v>182</v>
      </c>
    </row>
    <row r="42" customFormat="false" ht="15" hidden="false" customHeight="true" outlineLevel="0" collapsed="false">
      <c r="A42" s="3" t="s">
        <v>171</v>
      </c>
      <c r="B42" s="3" t="n">
        <v>3</v>
      </c>
      <c r="C42" s="3" t="s">
        <v>149</v>
      </c>
      <c r="D42" s="3" t="n">
        <v>7</v>
      </c>
      <c r="E42" s="3" t="s">
        <v>150</v>
      </c>
      <c r="F42" s="3" t="s">
        <v>27</v>
      </c>
      <c r="G42" s="4" t="n">
        <v>7</v>
      </c>
      <c r="H42" s="5" t="s">
        <v>183</v>
      </c>
      <c r="I42" s="3" t="n">
        <v>20</v>
      </c>
      <c r="J42" s="3" t="s">
        <v>109</v>
      </c>
      <c r="K42" s="3" t="s">
        <v>184</v>
      </c>
      <c r="L42" s="3" t="n">
        <v>2035</v>
      </c>
      <c r="M42" s="3" t="s">
        <v>37</v>
      </c>
      <c r="N42" s="6" t="s">
        <v>185</v>
      </c>
      <c r="O42" s="3" t="s">
        <v>186</v>
      </c>
      <c r="P42" s="5" t="s">
        <v>187</v>
      </c>
    </row>
    <row r="43" customFormat="false" ht="15" hidden="false" customHeight="true" outlineLevel="0" collapsed="false">
      <c r="A43" s="3" t="s">
        <v>171</v>
      </c>
      <c r="B43" s="3" t="n">
        <v>3</v>
      </c>
      <c r="C43" s="3" t="s">
        <v>149</v>
      </c>
      <c r="D43" s="3" t="n">
        <v>7</v>
      </c>
      <c r="E43" s="3" t="s">
        <v>150</v>
      </c>
      <c r="F43" s="3" t="s">
        <v>27</v>
      </c>
      <c r="G43" s="4" t="n">
        <v>7</v>
      </c>
      <c r="H43" s="5" t="s">
        <v>188</v>
      </c>
      <c r="I43" s="3" t="n">
        <v>5</v>
      </c>
      <c r="J43" s="3" t="s">
        <v>109</v>
      </c>
      <c r="K43" s="3" t="s">
        <v>189</v>
      </c>
      <c r="L43" s="3" t="n">
        <v>2030</v>
      </c>
      <c r="M43" s="3" t="s">
        <v>37</v>
      </c>
      <c r="N43" s="6" t="s">
        <v>111</v>
      </c>
      <c r="O43" s="3" t="s">
        <v>112</v>
      </c>
      <c r="P43" s="5" t="s">
        <v>190</v>
      </c>
    </row>
    <row r="44" customFormat="false" ht="23.25" hidden="false" customHeight="true" outlineLevel="0" collapsed="false">
      <c r="A44" s="3" t="s">
        <v>171</v>
      </c>
      <c r="B44" s="3" t="n">
        <v>3</v>
      </c>
      <c r="C44" s="3" t="s">
        <v>149</v>
      </c>
      <c r="D44" s="3" t="n">
        <v>7</v>
      </c>
      <c r="E44" s="3" t="s">
        <v>150</v>
      </c>
      <c r="F44" s="3" t="s">
        <v>34</v>
      </c>
      <c r="G44" s="4" t="n">
        <v>3</v>
      </c>
      <c r="H44" s="5" t="s">
        <v>191</v>
      </c>
      <c r="I44" s="3" t="n">
        <v>0</v>
      </c>
      <c r="J44" s="3" t="s">
        <v>109</v>
      </c>
      <c r="K44" s="3" t="s">
        <v>192</v>
      </c>
      <c r="L44" s="3" t="n">
        <v>2025</v>
      </c>
      <c r="M44" s="3" t="s">
        <v>23</v>
      </c>
      <c r="N44" s="6" t="s">
        <v>140</v>
      </c>
      <c r="O44" s="3" t="s">
        <v>141</v>
      </c>
      <c r="P44" s="5" t="s">
        <v>193</v>
      </c>
    </row>
    <row r="45" customFormat="false" ht="23.25" hidden="false" customHeight="true" outlineLevel="0" collapsed="false">
      <c r="A45" s="3" t="s">
        <v>194</v>
      </c>
      <c r="B45" s="3" t="n">
        <v>3</v>
      </c>
      <c r="C45" s="3" t="s">
        <v>149</v>
      </c>
      <c r="D45" s="3" t="n">
        <v>7</v>
      </c>
      <c r="E45" s="3" t="s">
        <v>150</v>
      </c>
      <c r="F45" s="3" t="s">
        <v>19</v>
      </c>
      <c r="G45" s="4" t="n">
        <v>4</v>
      </c>
      <c r="H45" s="5" t="s">
        <v>195</v>
      </c>
      <c r="I45" s="3" t="n">
        <v>6.7</v>
      </c>
      <c r="J45" s="3" t="s">
        <v>196</v>
      </c>
      <c r="K45" s="3" t="s">
        <v>197</v>
      </c>
      <c r="L45" s="3" t="n">
        <v>2025</v>
      </c>
      <c r="M45" s="3" t="s">
        <v>37</v>
      </c>
      <c r="N45" s="6" t="s">
        <v>198</v>
      </c>
      <c r="O45" s="3" t="s">
        <v>199</v>
      </c>
      <c r="P45" s="5" t="s">
        <v>200</v>
      </c>
    </row>
    <row r="46" customFormat="false" ht="15" hidden="false" customHeight="true" outlineLevel="0" collapsed="false">
      <c r="A46" s="3" t="s">
        <v>194</v>
      </c>
      <c r="B46" s="3" t="n">
        <v>3</v>
      </c>
      <c r="C46" s="3" t="s">
        <v>149</v>
      </c>
      <c r="D46" s="3" t="n">
        <v>7</v>
      </c>
      <c r="E46" s="3" t="s">
        <v>150</v>
      </c>
      <c r="F46" s="3" t="s">
        <v>19</v>
      </c>
      <c r="G46" s="4" t="n">
        <v>4</v>
      </c>
      <c r="H46" s="5" t="s">
        <v>201</v>
      </c>
      <c r="I46" s="3" t="n">
        <v>10</v>
      </c>
      <c r="J46" s="3" t="s">
        <v>196</v>
      </c>
      <c r="K46" s="3" t="s">
        <v>202</v>
      </c>
      <c r="L46" s="3" t="n">
        <v>2030</v>
      </c>
      <c r="M46" s="3" t="s">
        <v>37</v>
      </c>
      <c r="N46" s="6" t="s">
        <v>140</v>
      </c>
      <c r="O46" s="3" t="s">
        <v>141</v>
      </c>
      <c r="P46" s="5" t="s">
        <v>203</v>
      </c>
    </row>
    <row r="47" customFormat="false" ht="23.25" hidden="false" customHeight="true" outlineLevel="0" collapsed="false">
      <c r="A47" s="3" t="s">
        <v>194</v>
      </c>
      <c r="B47" s="3" t="n">
        <v>3</v>
      </c>
      <c r="C47" s="3" t="s">
        <v>149</v>
      </c>
      <c r="D47" s="3" t="n">
        <v>7</v>
      </c>
      <c r="E47" s="3" t="s">
        <v>150</v>
      </c>
      <c r="F47" s="3" t="s">
        <v>27</v>
      </c>
      <c r="G47" s="4" t="n">
        <v>5</v>
      </c>
      <c r="H47" s="5" t="s">
        <v>204</v>
      </c>
      <c r="I47" s="3" t="n">
        <v>50</v>
      </c>
      <c r="J47" s="3" t="s">
        <v>196</v>
      </c>
      <c r="K47" s="3" t="s">
        <v>205</v>
      </c>
      <c r="L47" s="3" t="n">
        <v>2025</v>
      </c>
      <c r="M47" s="3" t="s">
        <v>23</v>
      </c>
      <c r="N47" s="6" t="s">
        <v>206</v>
      </c>
      <c r="O47" s="3" t="s">
        <v>186</v>
      </c>
      <c r="P47" s="5" t="s">
        <v>207</v>
      </c>
    </row>
    <row r="48" customFormat="false" ht="15" hidden="false" customHeight="true" outlineLevel="0" collapsed="false">
      <c r="A48" s="3" t="s">
        <v>194</v>
      </c>
      <c r="B48" s="3" t="n">
        <v>3</v>
      </c>
      <c r="C48" s="3" t="s">
        <v>149</v>
      </c>
      <c r="D48" s="3" t="n">
        <v>7</v>
      </c>
      <c r="E48" s="3" t="s">
        <v>150</v>
      </c>
      <c r="F48" s="3" t="s">
        <v>27</v>
      </c>
      <c r="G48" s="4" t="n">
        <v>5</v>
      </c>
      <c r="H48" s="5" t="s">
        <v>208</v>
      </c>
      <c r="I48" s="3" t="n">
        <v>6.7</v>
      </c>
      <c r="J48" s="3" t="s">
        <v>196</v>
      </c>
      <c r="K48" s="3" t="s">
        <v>197</v>
      </c>
      <c r="L48" s="3" t="n">
        <v>2025</v>
      </c>
      <c r="M48" s="3" t="s">
        <v>37</v>
      </c>
      <c r="N48" s="6" t="s">
        <v>198</v>
      </c>
      <c r="O48" s="3" t="s">
        <v>199</v>
      </c>
      <c r="P48" s="5" t="s">
        <v>209</v>
      </c>
    </row>
    <row r="49" customFormat="false" ht="15" hidden="false" customHeight="true" outlineLevel="0" collapsed="false">
      <c r="A49" s="3" t="s">
        <v>194</v>
      </c>
      <c r="B49" s="3" t="n">
        <v>3</v>
      </c>
      <c r="C49" s="3" t="s">
        <v>149</v>
      </c>
      <c r="D49" s="3" t="n">
        <v>7</v>
      </c>
      <c r="E49" s="3" t="s">
        <v>150</v>
      </c>
      <c r="F49" s="3" t="s">
        <v>34</v>
      </c>
      <c r="G49" s="4" t="n">
        <v>8</v>
      </c>
      <c r="H49" s="5" t="s">
        <v>210</v>
      </c>
      <c r="I49" s="3" t="n">
        <v>8.6</v>
      </c>
      <c r="J49" s="3" t="s">
        <v>196</v>
      </c>
      <c r="K49" s="3" t="s">
        <v>211</v>
      </c>
      <c r="L49" s="3" t="n">
        <v>2024</v>
      </c>
      <c r="M49" s="3" t="s">
        <v>23</v>
      </c>
      <c r="N49" s="6" t="s">
        <v>212</v>
      </c>
      <c r="O49" s="3" t="s">
        <v>213</v>
      </c>
      <c r="P49" s="5" t="s">
        <v>214</v>
      </c>
    </row>
    <row r="50" customFormat="false" ht="23.25" hidden="false" customHeight="true" outlineLevel="0" collapsed="false">
      <c r="A50" s="3" t="s">
        <v>194</v>
      </c>
      <c r="B50" s="3" t="n">
        <v>3</v>
      </c>
      <c r="C50" s="3" t="s">
        <v>149</v>
      </c>
      <c r="D50" s="3" t="n">
        <v>7</v>
      </c>
      <c r="E50" s="3" t="s">
        <v>150</v>
      </c>
      <c r="F50" s="3" t="s">
        <v>34</v>
      </c>
      <c r="G50" s="4" t="n">
        <v>8</v>
      </c>
      <c r="H50" s="5" t="s">
        <v>215</v>
      </c>
      <c r="I50" s="3" t="n">
        <v>100</v>
      </c>
      <c r="J50" s="3" t="s">
        <v>196</v>
      </c>
      <c r="K50" s="3" t="s">
        <v>216</v>
      </c>
      <c r="L50" s="3" t="n">
        <v>2030</v>
      </c>
      <c r="M50" s="3" t="s">
        <v>37</v>
      </c>
      <c r="N50" s="6" t="s">
        <v>140</v>
      </c>
      <c r="O50" s="3" t="s">
        <v>141</v>
      </c>
      <c r="P50" s="5" t="s">
        <v>217</v>
      </c>
    </row>
    <row r="51" customFormat="false" ht="15" hidden="false" customHeight="true" outlineLevel="0" collapsed="false">
      <c r="A51" s="3" t="s">
        <v>218</v>
      </c>
      <c r="B51" s="3" t="n">
        <v>3</v>
      </c>
      <c r="C51" s="3" t="s">
        <v>17</v>
      </c>
      <c r="D51" s="3" t="n">
        <v>8</v>
      </c>
      <c r="E51" s="3" t="s">
        <v>150</v>
      </c>
      <c r="F51" s="3" t="s">
        <v>19</v>
      </c>
      <c r="G51" s="4" t="n">
        <v>8</v>
      </c>
      <c r="H51" s="5" t="s">
        <v>219</v>
      </c>
      <c r="I51" s="3" t="n">
        <v>500</v>
      </c>
      <c r="J51" s="3" t="s">
        <v>220</v>
      </c>
      <c r="K51" s="3" t="s">
        <v>221</v>
      </c>
      <c r="L51" s="3" t="n">
        <v>2026</v>
      </c>
      <c r="M51" s="3" t="s">
        <v>37</v>
      </c>
      <c r="N51" s="6" t="s">
        <v>222</v>
      </c>
      <c r="O51" s="3" t="s">
        <v>223</v>
      </c>
      <c r="P51" s="5" t="s">
        <v>224</v>
      </c>
    </row>
    <row r="52" customFormat="false" ht="23.25" hidden="false" customHeight="true" outlineLevel="0" collapsed="false">
      <c r="A52" s="3" t="s">
        <v>218</v>
      </c>
      <c r="B52" s="3" t="n">
        <v>3</v>
      </c>
      <c r="C52" s="3" t="s">
        <v>17</v>
      </c>
      <c r="D52" s="3" t="n">
        <v>8</v>
      </c>
      <c r="E52" s="3" t="s">
        <v>150</v>
      </c>
      <c r="F52" s="3" t="s">
        <v>19</v>
      </c>
      <c r="G52" s="4" t="n">
        <v>8</v>
      </c>
      <c r="H52" s="5" t="s">
        <v>225</v>
      </c>
      <c r="I52" s="3" t="n">
        <v>68000</v>
      </c>
      <c r="J52" s="3" t="s">
        <v>220</v>
      </c>
      <c r="K52" s="3" t="s">
        <v>226</v>
      </c>
      <c r="L52" s="3" t="n">
        <v>2024</v>
      </c>
      <c r="M52" s="3" t="s">
        <v>23</v>
      </c>
      <c r="N52" s="6" t="s">
        <v>212</v>
      </c>
      <c r="O52" s="3" t="s">
        <v>213</v>
      </c>
      <c r="P52" s="5" t="s">
        <v>227</v>
      </c>
    </row>
    <row r="53" customFormat="false" ht="15" hidden="false" customHeight="true" outlineLevel="0" collapsed="false">
      <c r="A53" s="3" t="s">
        <v>218</v>
      </c>
      <c r="B53" s="3" t="n">
        <v>3</v>
      </c>
      <c r="C53" s="3" t="s">
        <v>17</v>
      </c>
      <c r="D53" s="3" t="n">
        <v>8</v>
      </c>
      <c r="E53" s="3" t="s">
        <v>150</v>
      </c>
      <c r="F53" s="3" t="s">
        <v>27</v>
      </c>
      <c r="G53" s="4" t="n">
        <v>2</v>
      </c>
      <c r="H53" s="5" t="s">
        <v>228</v>
      </c>
      <c r="I53" s="3" t="n">
        <v>1000</v>
      </c>
      <c r="J53" s="3" t="s">
        <v>220</v>
      </c>
      <c r="K53" s="3" t="s">
        <v>229</v>
      </c>
      <c r="L53" s="3" t="n">
        <v>2028</v>
      </c>
      <c r="M53" s="3" t="s">
        <v>57</v>
      </c>
      <c r="N53" s="6" t="s">
        <v>222</v>
      </c>
      <c r="O53" s="3" t="s">
        <v>223</v>
      </c>
      <c r="P53" s="5" t="s">
        <v>230</v>
      </c>
    </row>
    <row r="54" customFormat="false" ht="15" hidden="false" customHeight="true" outlineLevel="0" collapsed="false">
      <c r="A54" s="3" t="s">
        <v>218</v>
      </c>
      <c r="B54" s="3" t="n">
        <v>3</v>
      </c>
      <c r="C54" s="3" t="s">
        <v>17</v>
      </c>
      <c r="D54" s="3" t="n">
        <v>8</v>
      </c>
      <c r="E54" s="3" t="s">
        <v>150</v>
      </c>
      <c r="F54" s="3" t="s">
        <v>27</v>
      </c>
      <c r="G54" s="4" t="n">
        <v>2</v>
      </c>
      <c r="H54" s="5" t="s">
        <v>231</v>
      </c>
      <c r="I54" s="3" t="n">
        <v>50000</v>
      </c>
      <c r="J54" s="3" t="s">
        <v>220</v>
      </c>
      <c r="K54" s="3" t="s">
        <v>232</v>
      </c>
      <c r="L54" s="3" t="n">
        <v>2030</v>
      </c>
      <c r="M54" s="3" t="s">
        <v>37</v>
      </c>
      <c r="N54" s="6" t="s">
        <v>212</v>
      </c>
      <c r="O54" s="3" t="s">
        <v>213</v>
      </c>
      <c r="P54" s="5" t="s">
        <v>233</v>
      </c>
    </row>
    <row r="55" customFormat="false" ht="15" hidden="false" customHeight="true" outlineLevel="0" collapsed="false">
      <c r="A55" s="3" t="s">
        <v>218</v>
      </c>
      <c r="B55" s="3" t="n">
        <v>3</v>
      </c>
      <c r="C55" s="3" t="s">
        <v>17</v>
      </c>
      <c r="D55" s="3" t="n">
        <v>8</v>
      </c>
      <c r="E55" s="3" t="s">
        <v>150</v>
      </c>
      <c r="F55" s="3" t="s">
        <v>34</v>
      </c>
      <c r="G55" s="4" t="n">
        <v>7</v>
      </c>
      <c r="H55" s="5" t="s">
        <v>234</v>
      </c>
      <c r="I55" s="3" t="n">
        <v>2720</v>
      </c>
      <c r="J55" s="3" t="s">
        <v>220</v>
      </c>
      <c r="K55" s="3" t="s">
        <v>235</v>
      </c>
      <c r="L55" s="3" t="n">
        <v>2024</v>
      </c>
      <c r="M55" s="3" t="s">
        <v>23</v>
      </c>
      <c r="N55" s="6" t="s">
        <v>222</v>
      </c>
      <c r="O55" s="3" t="s">
        <v>223</v>
      </c>
      <c r="P55" s="5" t="s">
        <v>236</v>
      </c>
    </row>
    <row r="56" customFormat="false" ht="15" hidden="false" customHeight="true" outlineLevel="0" collapsed="false">
      <c r="A56" s="3" t="s">
        <v>218</v>
      </c>
      <c r="B56" s="3" t="n">
        <v>3</v>
      </c>
      <c r="C56" s="3" t="s">
        <v>17</v>
      </c>
      <c r="D56" s="3" t="n">
        <v>8</v>
      </c>
      <c r="E56" s="3" t="s">
        <v>150</v>
      </c>
      <c r="F56" s="3" t="s">
        <v>34</v>
      </c>
      <c r="G56" s="4" t="n">
        <v>7</v>
      </c>
      <c r="H56" s="5" t="s">
        <v>237</v>
      </c>
      <c r="I56" s="3" t="n">
        <v>1500</v>
      </c>
      <c r="J56" s="3" t="s">
        <v>220</v>
      </c>
      <c r="K56" s="3" t="s">
        <v>235</v>
      </c>
      <c r="L56" s="3" t="n">
        <v>2024</v>
      </c>
      <c r="M56" s="3" t="s">
        <v>23</v>
      </c>
      <c r="N56" s="6" t="s">
        <v>222</v>
      </c>
      <c r="O56" s="3" t="s">
        <v>223</v>
      </c>
      <c r="P56" s="5" t="s">
        <v>238</v>
      </c>
    </row>
    <row r="57" customFormat="false" ht="15" hidden="false" customHeight="true" outlineLevel="0" collapsed="false">
      <c r="A57" s="3" t="s">
        <v>218</v>
      </c>
      <c r="B57" s="3" t="n">
        <v>3</v>
      </c>
      <c r="C57" s="3" t="s">
        <v>17</v>
      </c>
      <c r="D57" s="3" t="n">
        <v>8</v>
      </c>
      <c r="E57" s="3" t="s">
        <v>150</v>
      </c>
      <c r="F57" s="3" t="s">
        <v>34</v>
      </c>
      <c r="G57" s="4" t="n">
        <v>7</v>
      </c>
      <c r="H57" s="5" t="s">
        <v>239</v>
      </c>
      <c r="I57" s="3" t="n">
        <v>100</v>
      </c>
      <c r="J57" s="3" t="s">
        <v>220</v>
      </c>
      <c r="K57" s="3" t="s">
        <v>240</v>
      </c>
      <c r="L57" s="3" t="n">
        <v>2025</v>
      </c>
      <c r="M57" s="3" t="s">
        <v>37</v>
      </c>
      <c r="N57" s="6" t="s">
        <v>222</v>
      </c>
      <c r="O57" s="3" t="s">
        <v>223</v>
      </c>
      <c r="P57" s="5" t="s">
        <v>241</v>
      </c>
    </row>
    <row r="58" customFormat="false" ht="15" hidden="false" customHeight="true" outlineLevel="0" collapsed="false">
      <c r="A58" s="3" t="s">
        <v>218</v>
      </c>
      <c r="B58" s="3" t="n">
        <v>3</v>
      </c>
      <c r="C58" s="3" t="s">
        <v>17</v>
      </c>
      <c r="D58" s="3" t="n">
        <v>8</v>
      </c>
      <c r="E58" s="3" t="s">
        <v>150</v>
      </c>
      <c r="F58" s="3" t="s">
        <v>34</v>
      </c>
      <c r="G58" s="4" t="n">
        <v>7</v>
      </c>
      <c r="H58" s="5" t="s">
        <v>242</v>
      </c>
      <c r="I58" s="3" t="n">
        <v>5400</v>
      </c>
      <c r="J58" s="3" t="s">
        <v>220</v>
      </c>
      <c r="K58" s="3" t="s">
        <v>243</v>
      </c>
      <c r="L58" s="3" t="n">
        <v>2024</v>
      </c>
      <c r="M58" s="3" t="s">
        <v>244</v>
      </c>
      <c r="N58" s="6" t="s">
        <v>245</v>
      </c>
      <c r="O58" s="3" t="s">
        <v>246</v>
      </c>
      <c r="P58" s="5" t="s">
        <v>247</v>
      </c>
    </row>
    <row r="59" customFormat="false" ht="15" hidden="false" customHeight="true" outlineLevel="0" collapsed="false">
      <c r="A59" s="3" t="s">
        <v>218</v>
      </c>
      <c r="B59" s="3" t="n">
        <v>3</v>
      </c>
      <c r="C59" s="3" t="s">
        <v>17</v>
      </c>
      <c r="D59" s="3" t="n">
        <v>8</v>
      </c>
      <c r="E59" s="3" t="s">
        <v>150</v>
      </c>
      <c r="F59" s="3" t="s">
        <v>34</v>
      </c>
      <c r="G59" s="4" t="n">
        <v>7</v>
      </c>
      <c r="H59" s="5" t="s">
        <v>248</v>
      </c>
      <c r="I59" s="3" t="n">
        <v>4500</v>
      </c>
      <c r="J59" s="3" t="s">
        <v>220</v>
      </c>
      <c r="K59" s="3" t="s">
        <v>243</v>
      </c>
      <c r="L59" s="3" t="n">
        <v>2024</v>
      </c>
      <c r="M59" s="3" t="s">
        <v>23</v>
      </c>
      <c r="N59" s="6" t="s">
        <v>249</v>
      </c>
      <c r="O59" s="3" t="s">
        <v>250</v>
      </c>
      <c r="P59" s="5" t="s">
        <v>251</v>
      </c>
    </row>
    <row r="60" customFormat="false" ht="15" hidden="false" customHeight="true" outlineLevel="0" collapsed="false">
      <c r="A60" s="3" t="s">
        <v>218</v>
      </c>
      <c r="B60" s="3" t="n">
        <v>3</v>
      </c>
      <c r="C60" s="3" t="s">
        <v>17</v>
      </c>
      <c r="D60" s="3" t="n">
        <v>8</v>
      </c>
      <c r="E60" s="3" t="s">
        <v>150</v>
      </c>
      <c r="F60" s="3" t="s">
        <v>34</v>
      </c>
      <c r="G60" s="4" t="n">
        <v>7</v>
      </c>
      <c r="H60" s="5" t="s">
        <v>252</v>
      </c>
      <c r="I60" s="3" t="n">
        <v>9000</v>
      </c>
      <c r="J60" s="3" t="s">
        <v>220</v>
      </c>
      <c r="K60" s="3" t="s">
        <v>57</v>
      </c>
      <c r="L60" s="3" t="n">
        <v>2024</v>
      </c>
      <c r="M60" s="3" t="s">
        <v>244</v>
      </c>
      <c r="N60" s="6" t="s">
        <v>253</v>
      </c>
      <c r="O60" s="3" t="s">
        <v>254</v>
      </c>
      <c r="P60" s="5" t="s">
        <v>255</v>
      </c>
    </row>
    <row r="61" customFormat="false" ht="15" hidden="false" customHeight="true" outlineLevel="0" collapsed="false">
      <c r="A61" s="3" t="s">
        <v>256</v>
      </c>
      <c r="B61" s="3" t="n">
        <v>3</v>
      </c>
      <c r="C61" s="3" t="s">
        <v>149</v>
      </c>
      <c r="D61" s="3" t="n">
        <v>7</v>
      </c>
      <c r="E61" s="3" t="s">
        <v>150</v>
      </c>
      <c r="F61" s="3" t="s">
        <v>19</v>
      </c>
      <c r="G61" s="4" t="n">
        <v>5</v>
      </c>
      <c r="H61" s="5" t="s">
        <v>257</v>
      </c>
      <c r="I61" s="3" t="n">
        <v>1250000000</v>
      </c>
      <c r="J61" s="3" t="s">
        <v>258</v>
      </c>
      <c r="K61" s="3" t="s">
        <v>259</v>
      </c>
      <c r="L61" s="3" t="n">
        <v>2030</v>
      </c>
      <c r="M61" s="3" t="s">
        <v>57</v>
      </c>
      <c r="N61" s="6" t="s">
        <v>212</v>
      </c>
      <c r="O61" s="3" t="s">
        <v>213</v>
      </c>
      <c r="P61" s="5" t="s">
        <v>260</v>
      </c>
    </row>
    <row r="62" customFormat="false" ht="15" hidden="false" customHeight="true" outlineLevel="0" collapsed="false">
      <c r="A62" s="3" t="s">
        <v>256</v>
      </c>
      <c r="B62" s="3" t="n">
        <v>3</v>
      </c>
      <c r="C62" s="3" t="s">
        <v>149</v>
      </c>
      <c r="D62" s="3" t="n">
        <v>7</v>
      </c>
      <c r="E62" s="3" t="s">
        <v>150</v>
      </c>
      <c r="F62" s="3" t="s">
        <v>27</v>
      </c>
      <c r="G62" s="4" t="n">
        <v>3</v>
      </c>
      <c r="H62" s="5" t="s">
        <v>261</v>
      </c>
      <c r="I62" s="3" t="n">
        <v>1666666667</v>
      </c>
      <c r="J62" s="3" t="s">
        <v>258</v>
      </c>
      <c r="K62" s="3" t="s">
        <v>262</v>
      </c>
      <c r="L62" s="3" t="n">
        <v>2040</v>
      </c>
      <c r="M62" s="3" t="s">
        <v>57</v>
      </c>
      <c r="N62" s="6" t="s">
        <v>212</v>
      </c>
      <c r="O62" s="3" t="s">
        <v>213</v>
      </c>
      <c r="P62" s="5" t="s">
        <v>263</v>
      </c>
    </row>
    <row r="63" customFormat="false" ht="15" hidden="false" customHeight="true" outlineLevel="0" collapsed="false">
      <c r="A63" s="3" t="s">
        <v>256</v>
      </c>
      <c r="B63" s="3" t="n">
        <v>3</v>
      </c>
      <c r="C63" s="3" t="s">
        <v>149</v>
      </c>
      <c r="D63" s="3" t="n">
        <v>7</v>
      </c>
      <c r="E63" s="3" t="s">
        <v>150</v>
      </c>
      <c r="F63" s="3" t="s">
        <v>34</v>
      </c>
      <c r="G63" s="4" t="n">
        <v>5</v>
      </c>
      <c r="H63" s="5" t="s">
        <v>264</v>
      </c>
      <c r="I63" s="3" t="n">
        <v>442857143</v>
      </c>
      <c r="J63" s="3" t="s">
        <v>258</v>
      </c>
      <c r="K63" s="3" t="s">
        <v>265</v>
      </c>
      <c r="L63" s="3" t="n">
        <v>2024</v>
      </c>
      <c r="M63" s="3" t="s">
        <v>23</v>
      </c>
      <c r="N63" s="6" t="s">
        <v>212</v>
      </c>
      <c r="O63" s="3" t="s">
        <v>213</v>
      </c>
      <c r="P63" s="5" t="s">
        <v>266</v>
      </c>
    </row>
    <row r="64" customFormat="false" ht="15" hidden="false" customHeight="true" outlineLevel="0" collapsed="false">
      <c r="A64" s="3" t="s">
        <v>256</v>
      </c>
      <c r="B64" s="3" t="n">
        <v>3</v>
      </c>
      <c r="C64" s="3" t="s">
        <v>149</v>
      </c>
      <c r="D64" s="3" t="n">
        <v>7</v>
      </c>
      <c r="E64" s="3" t="s">
        <v>150</v>
      </c>
      <c r="F64" s="3" t="s">
        <v>34</v>
      </c>
      <c r="G64" s="4" t="n">
        <v>5</v>
      </c>
      <c r="H64" s="5" t="s">
        <v>267</v>
      </c>
      <c r="I64" s="3" t="n">
        <v>50000000</v>
      </c>
      <c r="J64" s="3" t="s">
        <v>258</v>
      </c>
      <c r="K64" s="3" t="s">
        <v>268</v>
      </c>
      <c r="L64" s="3" t="n">
        <v>2028</v>
      </c>
      <c r="M64" s="3" t="s">
        <v>37</v>
      </c>
      <c r="N64" s="6" t="s">
        <v>269</v>
      </c>
      <c r="O64" s="3" t="s">
        <v>141</v>
      </c>
      <c r="P64" s="5" t="s">
        <v>270</v>
      </c>
    </row>
    <row r="65" customFormat="false" ht="15" hidden="false" customHeight="true" outlineLevel="0" collapsed="false">
      <c r="A65" s="3" t="s">
        <v>256</v>
      </c>
      <c r="B65" s="3" t="n">
        <v>3</v>
      </c>
      <c r="C65" s="3" t="s">
        <v>149</v>
      </c>
      <c r="D65" s="3" t="n">
        <v>7</v>
      </c>
      <c r="E65" s="3" t="s">
        <v>150</v>
      </c>
      <c r="F65" s="3" t="s">
        <v>34</v>
      </c>
      <c r="G65" s="4" t="n">
        <v>5</v>
      </c>
      <c r="H65" s="5" t="s">
        <v>271</v>
      </c>
      <c r="I65" s="3" t="n">
        <v>75000000</v>
      </c>
      <c r="J65" s="3" t="s">
        <v>258</v>
      </c>
      <c r="K65" s="3" t="s">
        <v>272</v>
      </c>
      <c r="L65" s="3" t="n">
        <v>2027</v>
      </c>
      <c r="M65" s="3" t="s">
        <v>37</v>
      </c>
      <c r="N65" s="6" t="s">
        <v>273</v>
      </c>
      <c r="O65" s="3" t="s">
        <v>141</v>
      </c>
      <c r="P65" s="5" t="s">
        <v>274</v>
      </c>
    </row>
    <row r="66" customFormat="false" ht="15" hidden="false" customHeight="true" outlineLevel="0" collapsed="false">
      <c r="A66" s="3" t="s">
        <v>275</v>
      </c>
      <c r="B66" s="3" t="n">
        <v>3</v>
      </c>
      <c r="C66" s="3" t="s">
        <v>17</v>
      </c>
      <c r="D66" s="3" t="n">
        <v>7</v>
      </c>
      <c r="E66" s="3" t="s">
        <v>18</v>
      </c>
      <c r="F66" s="3" t="s">
        <v>19</v>
      </c>
      <c r="G66" s="4" t="n">
        <v>6</v>
      </c>
      <c r="H66" s="5" t="s">
        <v>276</v>
      </c>
      <c r="I66" s="3" t="n">
        <v>3000000000</v>
      </c>
      <c r="J66" s="3" t="s">
        <v>277</v>
      </c>
      <c r="K66" s="3" t="s">
        <v>278</v>
      </c>
      <c r="L66" s="3" t="n">
        <v>2030</v>
      </c>
      <c r="M66" s="3" t="s">
        <v>57</v>
      </c>
      <c r="N66" s="6" t="s">
        <v>212</v>
      </c>
      <c r="O66" s="3" t="s">
        <v>213</v>
      </c>
      <c r="P66" s="5" t="s">
        <v>279</v>
      </c>
    </row>
    <row r="67" customFormat="false" ht="15" hidden="false" customHeight="true" outlineLevel="0" collapsed="false">
      <c r="A67" s="3" t="s">
        <v>275</v>
      </c>
      <c r="B67" s="3" t="n">
        <v>3</v>
      </c>
      <c r="C67" s="3" t="s">
        <v>17</v>
      </c>
      <c r="D67" s="3" t="n">
        <v>7</v>
      </c>
      <c r="E67" s="3" t="s">
        <v>18</v>
      </c>
      <c r="F67" s="3" t="s">
        <v>27</v>
      </c>
      <c r="G67" s="4" t="n">
        <v>2</v>
      </c>
      <c r="H67" s="5" t="s">
        <v>280</v>
      </c>
      <c r="I67" s="3" t="n">
        <v>25000000000</v>
      </c>
      <c r="J67" s="3" t="s">
        <v>277</v>
      </c>
      <c r="K67" s="3" t="s">
        <v>281</v>
      </c>
      <c r="L67" s="3" t="n">
        <v>2040</v>
      </c>
      <c r="M67" s="3" t="s">
        <v>57</v>
      </c>
      <c r="N67" s="6" t="s">
        <v>212</v>
      </c>
      <c r="O67" s="3" t="s">
        <v>213</v>
      </c>
      <c r="P67" s="5" t="s">
        <v>282</v>
      </c>
    </row>
    <row r="68" customFormat="false" ht="15" hidden="false" customHeight="true" outlineLevel="0" collapsed="false">
      <c r="A68" s="3" t="s">
        <v>275</v>
      </c>
      <c r="B68" s="3" t="n">
        <v>3</v>
      </c>
      <c r="C68" s="3" t="s">
        <v>17</v>
      </c>
      <c r="D68" s="3" t="n">
        <v>7</v>
      </c>
      <c r="E68" s="3" t="s">
        <v>18</v>
      </c>
      <c r="F68" s="3" t="s">
        <v>34</v>
      </c>
      <c r="G68" s="4" t="n">
        <v>5</v>
      </c>
      <c r="H68" s="5" t="s">
        <v>283</v>
      </c>
      <c r="I68" s="3" t="n">
        <v>500000000</v>
      </c>
      <c r="J68" s="3" t="s">
        <v>277</v>
      </c>
      <c r="K68" s="3" t="s">
        <v>284</v>
      </c>
      <c r="L68" s="3" t="n">
        <v>2025</v>
      </c>
      <c r="M68" s="3" t="s">
        <v>57</v>
      </c>
      <c r="N68" s="6" t="s">
        <v>212</v>
      </c>
      <c r="O68" s="3" t="s">
        <v>213</v>
      </c>
      <c r="P68" s="5" t="s">
        <v>285</v>
      </c>
    </row>
    <row r="69" customFormat="false" ht="15" hidden="false" customHeight="true" outlineLevel="0" collapsed="false">
      <c r="A69" s="3" t="s">
        <v>275</v>
      </c>
      <c r="B69" s="3" t="n">
        <v>3</v>
      </c>
      <c r="C69" s="3" t="s">
        <v>17</v>
      </c>
      <c r="D69" s="3" t="n">
        <v>7</v>
      </c>
      <c r="E69" s="3" t="s">
        <v>18</v>
      </c>
      <c r="F69" s="3" t="s">
        <v>34</v>
      </c>
      <c r="G69" s="4" t="n">
        <v>5</v>
      </c>
      <c r="H69" s="5" t="s">
        <v>286</v>
      </c>
      <c r="I69" s="3" t="n">
        <v>5000000000</v>
      </c>
      <c r="J69" s="3" t="s">
        <v>277</v>
      </c>
      <c r="K69" s="3" t="s">
        <v>287</v>
      </c>
      <c r="L69" s="3" t="n">
        <v>2025</v>
      </c>
      <c r="M69" s="3" t="s">
        <v>57</v>
      </c>
      <c r="N69" s="6" t="s">
        <v>212</v>
      </c>
      <c r="O69" s="3" t="s">
        <v>213</v>
      </c>
      <c r="P69" s="5" t="s">
        <v>288</v>
      </c>
    </row>
    <row r="70" customFormat="false" ht="23.25" hidden="false" customHeight="true" outlineLevel="0" collapsed="false">
      <c r="A70" s="3" t="s">
        <v>289</v>
      </c>
      <c r="B70" s="3" t="n">
        <v>3</v>
      </c>
      <c r="C70" s="3" t="s">
        <v>149</v>
      </c>
      <c r="D70" s="3" t="n">
        <v>6</v>
      </c>
      <c r="E70" s="3" t="s">
        <v>150</v>
      </c>
      <c r="F70" s="3" t="s">
        <v>19</v>
      </c>
      <c r="G70" s="4" t="n">
        <v>5</v>
      </c>
      <c r="H70" s="5" t="s">
        <v>290</v>
      </c>
      <c r="I70" s="3" t="s">
        <v>163</v>
      </c>
      <c r="J70" s="3" t="s">
        <v>163</v>
      </c>
      <c r="K70" s="3" t="s">
        <v>164</v>
      </c>
      <c r="L70" s="3" t="n">
        <v>2025</v>
      </c>
      <c r="M70" s="3" t="s">
        <v>165</v>
      </c>
      <c r="N70" s="6" t="s">
        <v>81</v>
      </c>
      <c r="O70" s="3" t="s">
        <v>82</v>
      </c>
      <c r="P70" s="5" t="s">
        <v>291</v>
      </c>
    </row>
    <row r="71" customFormat="false" ht="23.25" hidden="false" customHeight="true" outlineLevel="0" collapsed="false">
      <c r="A71" s="3" t="s">
        <v>289</v>
      </c>
      <c r="B71" s="3" t="n">
        <v>3</v>
      </c>
      <c r="C71" s="3" t="s">
        <v>149</v>
      </c>
      <c r="D71" s="3" t="n">
        <v>6</v>
      </c>
      <c r="E71" s="3" t="s">
        <v>150</v>
      </c>
      <c r="F71" s="3" t="s">
        <v>27</v>
      </c>
      <c r="G71" s="4" t="n">
        <v>4</v>
      </c>
      <c r="H71" s="5" t="s">
        <v>290</v>
      </c>
      <c r="I71" s="3" t="s">
        <v>163</v>
      </c>
      <c r="J71" s="3" t="s">
        <v>163</v>
      </c>
      <c r="K71" s="3" t="s">
        <v>164</v>
      </c>
      <c r="L71" s="3" t="n">
        <v>2025</v>
      </c>
      <c r="M71" s="3" t="s">
        <v>165</v>
      </c>
      <c r="N71" s="6" t="s">
        <v>81</v>
      </c>
      <c r="O71" s="3" t="s">
        <v>82</v>
      </c>
      <c r="P71" s="5" t="s">
        <v>292</v>
      </c>
    </row>
    <row r="72" customFormat="false" ht="15" hidden="false" customHeight="true" outlineLevel="0" collapsed="false">
      <c r="A72" s="3" t="s">
        <v>289</v>
      </c>
      <c r="B72" s="3" t="n">
        <v>3</v>
      </c>
      <c r="C72" s="3" t="s">
        <v>149</v>
      </c>
      <c r="D72" s="3" t="n">
        <v>6</v>
      </c>
      <c r="E72" s="3" t="s">
        <v>150</v>
      </c>
      <c r="F72" s="3" t="s">
        <v>34</v>
      </c>
      <c r="G72" s="4" t="n">
        <v>5</v>
      </c>
      <c r="H72" s="5" t="s">
        <v>290</v>
      </c>
      <c r="I72" s="3" t="s">
        <v>163</v>
      </c>
      <c r="J72" s="3" t="s">
        <v>163</v>
      </c>
      <c r="K72" s="3" t="s">
        <v>164</v>
      </c>
      <c r="L72" s="3" t="n">
        <v>2025</v>
      </c>
      <c r="M72" s="3" t="s">
        <v>165</v>
      </c>
      <c r="N72" s="6" t="s">
        <v>81</v>
      </c>
      <c r="O72" s="3" t="s">
        <v>82</v>
      </c>
      <c r="P72" s="5" t="s">
        <v>293</v>
      </c>
    </row>
    <row r="73" customFormat="false" ht="15" hidden="false" customHeight="true" outlineLevel="0" collapsed="false">
      <c r="A73" s="3" t="s">
        <v>294</v>
      </c>
      <c r="B73" s="3" t="n">
        <v>3</v>
      </c>
      <c r="C73" s="3" t="s">
        <v>149</v>
      </c>
      <c r="D73" s="3" t="n">
        <v>6</v>
      </c>
      <c r="E73" s="3" t="s">
        <v>150</v>
      </c>
      <c r="F73" s="3" t="s">
        <v>19</v>
      </c>
      <c r="G73" s="4" t="n">
        <v>7</v>
      </c>
      <c r="H73" s="5" t="s">
        <v>290</v>
      </c>
      <c r="I73" s="3" t="s">
        <v>163</v>
      </c>
      <c r="J73" s="3" t="s">
        <v>163</v>
      </c>
      <c r="K73" s="3" t="s">
        <v>164</v>
      </c>
      <c r="L73" s="3" t="n">
        <v>2025</v>
      </c>
      <c r="M73" s="3" t="s">
        <v>165</v>
      </c>
      <c r="N73" s="6" t="s">
        <v>140</v>
      </c>
      <c r="O73" s="3" t="s">
        <v>141</v>
      </c>
      <c r="P73" s="5" t="s">
        <v>295</v>
      </c>
    </row>
    <row r="74" customFormat="false" ht="15" hidden="false" customHeight="true" outlineLevel="0" collapsed="false">
      <c r="A74" s="3" t="s">
        <v>294</v>
      </c>
      <c r="B74" s="3" t="n">
        <v>3</v>
      </c>
      <c r="C74" s="3" t="s">
        <v>149</v>
      </c>
      <c r="D74" s="3" t="n">
        <v>6</v>
      </c>
      <c r="E74" s="3" t="s">
        <v>150</v>
      </c>
      <c r="F74" s="3" t="s">
        <v>27</v>
      </c>
      <c r="G74" s="4" t="n">
        <v>3</v>
      </c>
      <c r="H74" s="5" t="s">
        <v>290</v>
      </c>
      <c r="I74" s="3" t="s">
        <v>163</v>
      </c>
      <c r="J74" s="3" t="s">
        <v>163</v>
      </c>
      <c r="K74" s="3" t="s">
        <v>164</v>
      </c>
      <c r="L74" s="3" t="n">
        <v>2025</v>
      </c>
      <c r="M74" s="3" t="s">
        <v>165</v>
      </c>
      <c r="N74" s="6" t="s">
        <v>140</v>
      </c>
      <c r="O74" s="3" t="s">
        <v>141</v>
      </c>
      <c r="P74" s="5" t="s">
        <v>296</v>
      </c>
    </row>
    <row r="75" customFormat="false" ht="15" hidden="false" customHeight="true" outlineLevel="0" collapsed="false">
      <c r="A75" s="3" t="s">
        <v>294</v>
      </c>
      <c r="B75" s="3" t="n">
        <v>3</v>
      </c>
      <c r="C75" s="3" t="s">
        <v>149</v>
      </c>
      <c r="D75" s="3" t="n">
        <v>6</v>
      </c>
      <c r="E75" s="3" t="s">
        <v>150</v>
      </c>
      <c r="F75" s="3" t="s">
        <v>34</v>
      </c>
      <c r="G75" s="4" t="n">
        <v>7</v>
      </c>
      <c r="H75" s="5" t="s">
        <v>290</v>
      </c>
      <c r="I75" s="3" t="s">
        <v>163</v>
      </c>
      <c r="J75" s="3" t="s">
        <v>163</v>
      </c>
      <c r="K75" s="3" t="s">
        <v>164</v>
      </c>
      <c r="L75" s="3" t="n">
        <v>2025</v>
      </c>
      <c r="M75" s="3" t="s">
        <v>165</v>
      </c>
      <c r="N75" s="6" t="s">
        <v>140</v>
      </c>
      <c r="O75" s="3" t="s">
        <v>141</v>
      </c>
      <c r="P75" s="5" t="s">
        <v>297</v>
      </c>
    </row>
    <row r="76" customFormat="false" ht="15" hidden="false" customHeight="true" outlineLevel="0" collapsed="false">
      <c r="A76" s="3" t="s">
        <v>298</v>
      </c>
      <c r="B76" s="3" t="n">
        <v>3</v>
      </c>
      <c r="C76" s="3" t="s">
        <v>149</v>
      </c>
      <c r="D76" s="3" t="n">
        <v>5</v>
      </c>
      <c r="E76" s="3" t="s">
        <v>150</v>
      </c>
      <c r="F76" s="3" t="s">
        <v>19</v>
      </c>
      <c r="G76" s="4" t="n">
        <v>8</v>
      </c>
      <c r="H76" s="5" t="s">
        <v>290</v>
      </c>
      <c r="I76" s="3" t="s">
        <v>163</v>
      </c>
      <c r="J76" s="3" t="s">
        <v>163</v>
      </c>
      <c r="K76" s="3" t="s">
        <v>164</v>
      </c>
      <c r="L76" s="3" t="n">
        <v>2025</v>
      </c>
      <c r="M76" s="3" t="s">
        <v>165</v>
      </c>
      <c r="N76" s="6" t="s">
        <v>140</v>
      </c>
      <c r="O76" s="3" t="s">
        <v>141</v>
      </c>
      <c r="P76" s="5" t="s">
        <v>299</v>
      </c>
    </row>
    <row r="77" customFormat="false" ht="15" hidden="false" customHeight="true" outlineLevel="0" collapsed="false">
      <c r="A77" s="3" t="s">
        <v>298</v>
      </c>
      <c r="B77" s="3" t="n">
        <v>3</v>
      </c>
      <c r="C77" s="3" t="s">
        <v>149</v>
      </c>
      <c r="D77" s="3" t="n">
        <v>5</v>
      </c>
      <c r="E77" s="3" t="s">
        <v>150</v>
      </c>
      <c r="F77" s="3" t="s">
        <v>27</v>
      </c>
      <c r="G77" s="4" t="n">
        <v>2</v>
      </c>
      <c r="H77" s="5" t="s">
        <v>290</v>
      </c>
      <c r="I77" s="3" t="s">
        <v>163</v>
      </c>
      <c r="J77" s="3" t="s">
        <v>163</v>
      </c>
      <c r="K77" s="3" t="s">
        <v>164</v>
      </c>
      <c r="L77" s="3" t="n">
        <v>2025</v>
      </c>
      <c r="M77" s="3" t="s">
        <v>165</v>
      </c>
      <c r="N77" s="6" t="s">
        <v>140</v>
      </c>
      <c r="O77" s="3" t="s">
        <v>141</v>
      </c>
      <c r="P77" s="5" t="s">
        <v>300</v>
      </c>
    </row>
    <row r="78" customFormat="false" ht="15" hidden="false" customHeight="true" outlineLevel="0" collapsed="false">
      <c r="A78" s="3" t="s">
        <v>298</v>
      </c>
      <c r="B78" s="3" t="n">
        <v>3</v>
      </c>
      <c r="C78" s="3" t="s">
        <v>149</v>
      </c>
      <c r="D78" s="3" t="n">
        <v>5</v>
      </c>
      <c r="E78" s="3" t="s">
        <v>150</v>
      </c>
      <c r="F78" s="3" t="s">
        <v>34</v>
      </c>
      <c r="G78" s="4" t="n">
        <v>7</v>
      </c>
      <c r="H78" s="5" t="s">
        <v>290</v>
      </c>
      <c r="I78" s="3" t="s">
        <v>163</v>
      </c>
      <c r="J78" s="3" t="s">
        <v>163</v>
      </c>
      <c r="K78" s="3" t="s">
        <v>164</v>
      </c>
      <c r="L78" s="3" t="n">
        <v>2025</v>
      </c>
      <c r="M78" s="3" t="s">
        <v>165</v>
      </c>
      <c r="N78" s="6" t="s">
        <v>140</v>
      </c>
      <c r="O78" s="3" t="s">
        <v>141</v>
      </c>
      <c r="P78" s="5" t="s">
        <v>301</v>
      </c>
    </row>
    <row r="79" customFormat="false" ht="15" hidden="false" customHeight="true" outlineLevel="0" collapsed="false">
      <c r="A79" s="3" t="s">
        <v>302</v>
      </c>
      <c r="B79" s="3" t="n">
        <v>3</v>
      </c>
      <c r="C79" s="3" t="s">
        <v>149</v>
      </c>
      <c r="D79" s="3" t="n">
        <v>6</v>
      </c>
      <c r="E79" s="3" t="s">
        <v>150</v>
      </c>
      <c r="F79" s="3" t="s">
        <v>19</v>
      </c>
      <c r="G79" s="4" t="n">
        <v>5</v>
      </c>
      <c r="H79" s="5" t="s">
        <v>290</v>
      </c>
      <c r="I79" s="3" t="s">
        <v>163</v>
      </c>
      <c r="J79" s="3" t="s">
        <v>163</v>
      </c>
      <c r="K79" s="3" t="s">
        <v>164</v>
      </c>
      <c r="L79" s="3" t="n">
        <v>2025</v>
      </c>
      <c r="M79" s="3" t="s">
        <v>165</v>
      </c>
      <c r="N79" s="6" t="s">
        <v>303</v>
      </c>
      <c r="O79" s="3" t="s">
        <v>141</v>
      </c>
      <c r="P79" s="5" t="s">
        <v>304</v>
      </c>
    </row>
    <row r="80" customFormat="false" ht="15" hidden="false" customHeight="true" outlineLevel="0" collapsed="false">
      <c r="A80" s="3" t="s">
        <v>302</v>
      </c>
      <c r="B80" s="3" t="n">
        <v>3</v>
      </c>
      <c r="C80" s="3" t="s">
        <v>149</v>
      </c>
      <c r="D80" s="3" t="n">
        <v>6</v>
      </c>
      <c r="E80" s="3" t="s">
        <v>150</v>
      </c>
      <c r="F80" s="3" t="s">
        <v>27</v>
      </c>
      <c r="G80" s="4" t="n">
        <v>5</v>
      </c>
      <c r="H80" s="5" t="s">
        <v>290</v>
      </c>
      <c r="I80" s="3" t="s">
        <v>163</v>
      </c>
      <c r="J80" s="3" t="s">
        <v>163</v>
      </c>
      <c r="K80" s="3" t="s">
        <v>164</v>
      </c>
      <c r="L80" s="3" t="n">
        <v>2025</v>
      </c>
      <c r="M80" s="3" t="s">
        <v>165</v>
      </c>
      <c r="N80" s="6" t="s">
        <v>303</v>
      </c>
      <c r="O80" s="3" t="s">
        <v>141</v>
      </c>
      <c r="P80" s="5" t="s">
        <v>305</v>
      </c>
    </row>
    <row r="81" customFormat="false" ht="15" hidden="false" customHeight="true" outlineLevel="0" collapsed="false">
      <c r="A81" s="3" t="s">
        <v>302</v>
      </c>
      <c r="B81" s="3" t="n">
        <v>3</v>
      </c>
      <c r="C81" s="3" t="s">
        <v>149</v>
      </c>
      <c r="D81" s="3" t="n">
        <v>6</v>
      </c>
      <c r="E81" s="3" t="s">
        <v>150</v>
      </c>
      <c r="F81" s="3" t="s">
        <v>34</v>
      </c>
      <c r="G81" s="4" t="n">
        <v>4</v>
      </c>
      <c r="H81" s="5" t="s">
        <v>290</v>
      </c>
      <c r="I81" s="3" t="s">
        <v>163</v>
      </c>
      <c r="J81" s="3" t="s">
        <v>163</v>
      </c>
      <c r="K81" s="3" t="s">
        <v>164</v>
      </c>
      <c r="L81" s="3" t="n">
        <v>2025</v>
      </c>
      <c r="M81" s="3" t="s">
        <v>165</v>
      </c>
      <c r="N81" s="6" t="s">
        <v>140</v>
      </c>
      <c r="O81" s="3" t="s">
        <v>141</v>
      </c>
      <c r="P81" s="5" t="s">
        <v>306</v>
      </c>
    </row>
    <row r="82" customFormat="false" ht="15" hidden="false" customHeight="true" outlineLevel="0" collapsed="false">
      <c r="A82" s="3" t="s">
        <v>307</v>
      </c>
      <c r="B82" s="3" t="n">
        <v>3</v>
      </c>
      <c r="C82" s="3" t="s">
        <v>149</v>
      </c>
      <c r="D82" s="3" t="n">
        <v>5</v>
      </c>
      <c r="E82" s="3" t="s">
        <v>150</v>
      </c>
      <c r="F82" s="3" t="s">
        <v>19</v>
      </c>
      <c r="G82" s="4" t="n">
        <v>4</v>
      </c>
      <c r="H82" s="5" t="s">
        <v>290</v>
      </c>
      <c r="I82" s="3" t="s">
        <v>163</v>
      </c>
      <c r="J82" s="3" t="s">
        <v>163</v>
      </c>
      <c r="K82" s="3" t="s">
        <v>164</v>
      </c>
      <c r="L82" s="3" t="n">
        <v>2025</v>
      </c>
      <c r="M82" s="3" t="s">
        <v>165</v>
      </c>
      <c r="N82" s="6" t="s">
        <v>81</v>
      </c>
      <c r="O82" s="3" t="s">
        <v>82</v>
      </c>
      <c r="P82" s="5" t="s">
        <v>308</v>
      </c>
    </row>
    <row r="83" customFormat="false" ht="15" hidden="false" customHeight="true" outlineLevel="0" collapsed="false">
      <c r="A83" s="3" t="s">
        <v>307</v>
      </c>
      <c r="B83" s="3" t="n">
        <v>3</v>
      </c>
      <c r="C83" s="3" t="s">
        <v>149</v>
      </c>
      <c r="D83" s="3" t="n">
        <v>5</v>
      </c>
      <c r="E83" s="3" t="s">
        <v>150</v>
      </c>
      <c r="F83" s="3" t="s">
        <v>27</v>
      </c>
      <c r="G83" s="4" t="n">
        <v>4</v>
      </c>
      <c r="H83" s="5" t="s">
        <v>290</v>
      </c>
      <c r="I83" s="3" t="s">
        <v>163</v>
      </c>
      <c r="J83" s="3" t="s">
        <v>163</v>
      </c>
      <c r="K83" s="3" t="s">
        <v>164</v>
      </c>
      <c r="L83" s="3" t="n">
        <v>2025</v>
      </c>
      <c r="M83" s="3" t="s">
        <v>165</v>
      </c>
      <c r="N83" s="6" t="s">
        <v>81</v>
      </c>
      <c r="O83" s="3" t="s">
        <v>82</v>
      </c>
      <c r="P83" s="5" t="s">
        <v>309</v>
      </c>
    </row>
    <row r="84" customFormat="false" ht="15" hidden="false" customHeight="true" outlineLevel="0" collapsed="false">
      <c r="A84" s="3" t="s">
        <v>307</v>
      </c>
      <c r="B84" s="3" t="n">
        <v>3</v>
      </c>
      <c r="C84" s="3" t="s">
        <v>149</v>
      </c>
      <c r="D84" s="3" t="n">
        <v>5</v>
      </c>
      <c r="E84" s="3" t="s">
        <v>150</v>
      </c>
      <c r="F84" s="3" t="s">
        <v>34</v>
      </c>
      <c r="G84" s="4" t="n">
        <v>5</v>
      </c>
      <c r="H84" s="5" t="s">
        <v>290</v>
      </c>
      <c r="I84" s="3" t="s">
        <v>163</v>
      </c>
      <c r="J84" s="3" t="s">
        <v>163</v>
      </c>
      <c r="K84" s="3" t="s">
        <v>164</v>
      </c>
      <c r="L84" s="3" t="n">
        <v>2025</v>
      </c>
      <c r="M84" s="3" t="s">
        <v>165</v>
      </c>
      <c r="N84" s="6" t="s">
        <v>81</v>
      </c>
      <c r="O84" s="3" t="s">
        <v>82</v>
      </c>
      <c r="P84" s="5" t="s">
        <v>310</v>
      </c>
    </row>
    <row r="85" customFormat="false" ht="23.25" hidden="false" customHeight="true" outlineLevel="0" collapsed="false">
      <c r="A85" s="3" t="s">
        <v>311</v>
      </c>
      <c r="B85" s="3" t="n">
        <v>4</v>
      </c>
      <c r="C85" s="3" t="s">
        <v>149</v>
      </c>
      <c r="D85" s="3" t="n">
        <v>7</v>
      </c>
      <c r="E85" s="3" t="s">
        <v>312</v>
      </c>
      <c r="F85" s="3" t="s">
        <v>19</v>
      </c>
      <c r="G85" s="4" t="n">
        <v>5</v>
      </c>
      <c r="H85" s="5" t="s">
        <v>313</v>
      </c>
      <c r="I85" s="3" t="n">
        <v>5000000000</v>
      </c>
      <c r="J85" s="3" t="s">
        <v>314</v>
      </c>
      <c r="K85" s="3" t="s">
        <v>315</v>
      </c>
      <c r="L85" s="3" t="n">
        <v>2035</v>
      </c>
      <c r="M85" s="3" t="s">
        <v>316</v>
      </c>
      <c r="N85" s="6" t="s">
        <v>140</v>
      </c>
      <c r="O85" s="3" t="s">
        <v>141</v>
      </c>
      <c r="P85" s="5" t="s">
        <v>317</v>
      </c>
    </row>
    <row r="86" customFormat="false" ht="15" hidden="false" customHeight="true" outlineLevel="0" collapsed="false">
      <c r="A86" s="3" t="s">
        <v>311</v>
      </c>
      <c r="B86" s="3" t="n">
        <v>4</v>
      </c>
      <c r="C86" s="3" t="s">
        <v>149</v>
      </c>
      <c r="D86" s="3" t="n">
        <v>7</v>
      </c>
      <c r="E86" s="3" t="s">
        <v>312</v>
      </c>
      <c r="F86" s="3" t="s">
        <v>27</v>
      </c>
      <c r="G86" s="4" t="n">
        <v>3</v>
      </c>
      <c r="H86" s="5" t="s">
        <v>318</v>
      </c>
      <c r="I86" s="3" t="n">
        <v>2000000000</v>
      </c>
      <c r="J86" s="3" t="s">
        <v>314</v>
      </c>
      <c r="K86" s="3" t="s">
        <v>319</v>
      </c>
      <c r="L86" s="3" t="n">
        <v>2035</v>
      </c>
      <c r="M86" s="3" t="s">
        <v>316</v>
      </c>
      <c r="N86" s="6" t="s">
        <v>140</v>
      </c>
      <c r="O86" s="3" t="s">
        <v>141</v>
      </c>
      <c r="P86" s="5" t="s">
        <v>320</v>
      </c>
    </row>
    <row r="87" customFormat="false" ht="15" hidden="false" customHeight="true" outlineLevel="0" collapsed="false">
      <c r="A87" s="3" t="s">
        <v>311</v>
      </c>
      <c r="B87" s="3" t="n">
        <v>4</v>
      </c>
      <c r="C87" s="3" t="s">
        <v>149</v>
      </c>
      <c r="D87" s="3" t="n">
        <v>7</v>
      </c>
      <c r="E87" s="3" t="s">
        <v>312</v>
      </c>
      <c r="F87" s="3" t="s">
        <v>34</v>
      </c>
      <c r="G87" s="4" t="n">
        <v>7</v>
      </c>
      <c r="H87" s="5" t="s">
        <v>321</v>
      </c>
      <c r="I87" s="3" t="n">
        <v>3000000000</v>
      </c>
      <c r="J87" s="3" t="s">
        <v>314</v>
      </c>
      <c r="K87" s="3" t="s">
        <v>322</v>
      </c>
      <c r="L87" s="3" t="n">
        <v>2024</v>
      </c>
      <c r="M87" s="3" t="s">
        <v>323</v>
      </c>
      <c r="N87" s="6" t="s">
        <v>140</v>
      </c>
      <c r="O87" s="3" t="s">
        <v>141</v>
      </c>
      <c r="P87" s="5" t="s">
        <v>324</v>
      </c>
    </row>
    <row r="88" customFormat="false" ht="15" hidden="false" customHeight="true" outlineLevel="0" collapsed="false">
      <c r="A88" s="3" t="s">
        <v>311</v>
      </c>
      <c r="B88" s="3" t="n">
        <v>4</v>
      </c>
      <c r="C88" s="3" t="s">
        <v>149</v>
      </c>
      <c r="D88" s="3" t="n">
        <v>7</v>
      </c>
      <c r="E88" s="3" t="s">
        <v>312</v>
      </c>
      <c r="F88" s="3" t="s">
        <v>34</v>
      </c>
      <c r="G88" s="4" t="n">
        <v>7</v>
      </c>
      <c r="H88" s="5" t="s">
        <v>325</v>
      </c>
      <c r="I88" s="3" t="n">
        <v>1000000000</v>
      </c>
      <c r="J88" s="3" t="s">
        <v>314</v>
      </c>
      <c r="K88" s="3" t="s">
        <v>326</v>
      </c>
      <c r="L88" s="3" t="n">
        <v>2025</v>
      </c>
      <c r="M88" s="3" t="s">
        <v>327</v>
      </c>
      <c r="N88" s="6" t="s">
        <v>140</v>
      </c>
      <c r="O88" s="3" t="s">
        <v>141</v>
      </c>
      <c r="P88" s="5" t="s">
        <v>328</v>
      </c>
    </row>
    <row r="89" customFormat="false" ht="15" hidden="false" customHeight="true" outlineLevel="0" collapsed="false">
      <c r="A89" s="3" t="s">
        <v>311</v>
      </c>
      <c r="B89" s="3" t="n">
        <v>4</v>
      </c>
      <c r="C89" s="3" t="s">
        <v>149</v>
      </c>
      <c r="D89" s="3" t="n">
        <v>7</v>
      </c>
      <c r="E89" s="3" t="s">
        <v>312</v>
      </c>
      <c r="F89" s="3" t="s">
        <v>34</v>
      </c>
      <c r="G89" s="4" t="n">
        <v>7</v>
      </c>
      <c r="H89" s="5" t="s">
        <v>329</v>
      </c>
      <c r="I89" s="3" t="n">
        <v>2000000000</v>
      </c>
      <c r="J89" s="3" t="s">
        <v>314</v>
      </c>
      <c r="K89" s="3" t="s">
        <v>330</v>
      </c>
      <c r="L89" s="3" t="n">
        <v>2024</v>
      </c>
      <c r="M89" s="3" t="s">
        <v>323</v>
      </c>
      <c r="N89" s="6" t="s">
        <v>140</v>
      </c>
      <c r="O89" s="3" t="s">
        <v>141</v>
      </c>
      <c r="P89" s="5" t="s">
        <v>331</v>
      </c>
    </row>
    <row r="90" customFormat="false" ht="23.25" hidden="false" customHeight="true" outlineLevel="0" collapsed="false">
      <c r="A90" s="3" t="s">
        <v>311</v>
      </c>
      <c r="B90" s="3" t="n">
        <v>4</v>
      </c>
      <c r="C90" s="3" t="s">
        <v>149</v>
      </c>
      <c r="D90" s="3" t="n">
        <v>7</v>
      </c>
      <c r="E90" s="3" t="s">
        <v>312</v>
      </c>
      <c r="F90" s="3" t="s">
        <v>34</v>
      </c>
      <c r="G90" s="4" t="n">
        <v>7</v>
      </c>
      <c r="H90" s="5" t="s">
        <v>332</v>
      </c>
      <c r="I90" s="3" t="n">
        <v>1500000000</v>
      </c>
      <c r="J90" s="3" t="s">
        <v>314</v>
      </c>
      <c r="K90" s="3" t="s">
        <v>333</v>
      </c>
      <c r="L90" s="3" t="n">
        <v>2024</v>
      </c>
      <c r="M90" s="3" t="s">
        <v>323</v>
      </c>
      <c r="N90" s="6" t="s">
        <v>140</v>
      </c>
      <c r="O90" s="3" t="s">
        <v>141</v>
      </c>
      <c r="P90" s="5" t="s">
        <v>334</v>
      </c>
    </row>
    <row r="91" customFormat="false" ht="15" hidden="false" customHeight="true" outlineLevel="0" collapsed="false">
      <c r="A91" s="3" t="s">
        <v>335</v>
      </c>
      <c r="B91" s="3" t="n">
        <v>4</v>
      </c>
      <c r="C91" s="3" t="s">
        <v>336</v>
      </c>
      <c r="D91" s="3" t="n">
        <v>5</v>
      </c>
      <c r="E91" s="3" t="s">
        <v>312</v>
      </c>
      <c r="F91" s="3" t="s">
        <v>19</v>
      </c>
      <c r="G91" s="4" t="n">
        <v>4</v>
      </c>
      <c r="H91" s="5" t="s">
        <v>290</v>
      </c>
      <c r="I91" s="3" t="s">
        <v>163</v>
      </c>
      <c r="J91" s="3" t="s">
        <v>163</v>
      </c>
      <c r="K91" s="3" t="s">
        <v>164</v>
      </c>
      <c r="L91" s="3" t="n">
        <v>2025</v>
      </c>
      <c r="M91" s="3" t="s">
        <v>165</v>
      </c>
      <c r="N91" s="6" t="s">
        <v>52</v>
      </c>
      <c r="O91" s="3" t="s">
        <v>141</v>
      </c>
      <c r="P91" s="5" t="s">
        <v>337</v>
      </c>
    </row>
    <row r="92" customFormat="false" ht="15" hidden="false" customHeight="true" outlineLevel="0" collapsed="false">
      <c r="A92" s="3" t="s">
        <v>335</v>
      </c>
      <c r="B92" s="3" t="n">
        <v>4</v>
      </c>
      <c r="C92" s="3" t="s">
        <v>336</v>
      </c>
      <c r="D92" s="3" t="n">
        <v>5</v>
      </c>
      <c r="E92" s="3" t="s">
        <v>312</v>
      </c>
      <c r="F92" s="3" t="s">
        <v>27</v>
      </c>
      <c r="G92" s="4" t="n">
        <v>5</v>
      </c>
      <c r="H92" s="5" t="s">
        <v>290</v>
      </c>
      <c r="I92" s="3" t="s">
        <v>163</v>
      </c>
      <c r="J92" s="3" t="s">
        <v>163</v>
      </c>
      <c r="K92" s="3" t="s">
        <v>164</v>
      </c>
      <c r="L92" s="3" t="n">
        <v>2025</v>
      </c>
      <c r="M92" s="3" t="s">
        <v>165</v>
      </c>
      <c r="N92" s="6" t="s">
        <v>338</v>
      </c>
      <c r="O92" s="3" t="s">
        <v>141</v>
      </c>
      <c r="P92" s="5" t="s">
        <v>339</v>
      </c>
    </row>
    <row r="93" customFormat="false" ht="15" hidden="false" customHeight="true" outlineLevel="0" collapsed="false">
      <c r="A93" s="3" t="s">
        <v>335</v>
      </c>
      <c r="B93" s="3" t="n">
        <v>4</v>
      </c>
      <c r="C93" s="3" t="s">
        <v>336</v>
      </c>
      <c r="D93" s="3" t="n">
        <v>5</v>
      </c>
      <c r="E93" s="3" t="s">
        <v>312</v>
      </c>
      <c r="F93" s="3" t="s">
        <v>34</v>
      </c>
      <c r="G93" s="4" t="n">
        <v>9</v>
      </c>
      <c r="H93" s="5" t="s">
        <v>290</v>
      </c>
      <c r="I93" s="3" t="s">
        <v>163</v>
      </c>
      <c r="J93" s="3" t="s">
        <v>163</v>
      </c>
      <c r="K93" s="3" t="s">
        <v>164</v>
      </c>
      <c r="L93" s="3" t="n">
        <v>2025</v>
      </c>
      <c r="M93" s="3" t="s">
        <v>165</v>
      </c>
      <c r="N93" s="6" t="s">
        <v>38</v>
      </c>
      <c r="O93" s="3" t="s">
        <v>141</v>
      </c>
      <c r="P93" s="5" t="s">
        <v>340</v>
      </c>
    </row>
    <row r="94" customFormat="false" ht="15" hidden="false" customHeight="true" outlineLevel="0" collapsed="false">
      <c r="A94" s="3" t="s">
        <v>341</v>
      </c>
      <c r="B94" s="3" t="n">
        <v>4</v>
      </c>
      <c r="C94" s="3" t="s">
        <v>336</v>
      </c>
      <c r="D94" s="3" t="n">
        <v>4</v>
      </c>
      <c r="E94" s="3" t="s">
        <v>312</v>
      </c>
      <c r="F94" s="3" t="s">
        <v>19</v>
      </c>
      <c r="G94" s="4" t="n">
        <v>6</v>
      </c>
      <c r="H94" s="5" t="s">
        <v>290</v>
      </c>
      <c r="I94" s="3" t="s">
        <v>163</v>
      </c>
      <c r="J94" s="3" t="s">
        <v>163</v>
      </c>
      <c r="K94" s="3" t="s">
        <v>164</v>
      </c>
      <c r="L94" s="3" t="n">
        <v>2025</v>
      </c>
      <c r="M94" s="3" t="s">
        <v>165</v>
      </c>
      <c r="N94" s="6" t="s">
        <v>140</v>
      </c>
      <c r="O94" s="3" t="s">
        <v>141</v>
      </c>
      <c r="P94" s="5" t="s">
        <v>342</v>
      </c>
    </row>
    <row r="95" customFormat="false" ht="15" hidden="false" customHeight="true" outlineLevel="0" collapsed="false">
      <c r="A95" s="3" t="s">
        <v>341</v>
      </c>
      <c r="B95" s="3" t="n">
        <v>4</v>
      </c>
      <c r="C95" s="3" t="s">
        <v>336</v>
      </c>
      <c r="D95" s="3" t="n">
        <v>4</v>
      </c>
      <c r="E95" s="3" t="s">
        <v>312</v>
      </c>
      <c r="F95" s="3" t="s">
        <v>27</v>
      </c>
      <c r="G95" s="4" t="n">
        <v>3</v>
      </c>
      <c r="H95" s="5" t="s">
        <v>290</v>
      </c>
      <c r="I95" s="3" t="s">
        <v>163</v>
      </c>
      <c r="J95" s="3" t="s">
        <v>163</v>
      </c>
      <c r="K95" s="3" t="s">
        <v>164</v>
      </c>
      <c r="L95" s="3" t="n">
        <v>2025</v>
      </c>
      <c r="M95" s="3" t="s">
        <v>165</v>
      </c>
      <c r="N95" s="6" t="s">
        <v>140</v>
      </c>
      <c r="O95" s="3" t="s">
        <v>141</v>
      </c>
      <c r="P95" s="5" t="s">
        <v>343</v>
      </c>
    </row>
    <row r="96" customFormat="false" ht="15" hidden="false" customHeight="true" outlineLevel="0" collapsed="false">
      <c r="A96" s="3" t="s">
        <v>341</v>
      </c>
      <c r="B96" s="3" t="n">
        <v>4</v>
      </c>
      <c r="C96" s="3" t="s">
        <v>336</v>
      </c>
      <c r="D96" s="3" t="n">
        <v>4</v>
      </c>
      <c r="E96" s="3" t="s">
        <v>312</v>
      </c>
      <c r="F96" s="3" t="s">
        <v>34</v>
      </c>
      <c r="G96" s="4" t="n">
        <v>8</v>
      </c>
      <c r="H96" s="5" t="s">
        <v>290</v>
      </c>
      <c r="I96" s="3" t="s">
        <v>163</v>
      </c>
      <c r="J96" s="3" t="s">
        <v>163</v>
      </c>
      <c r="K96" s="3" t="s">
        <v>164</v>
      </c>
      <c r="L96" s="3" t="n">
        <v>2025</v>
      </c>
      <c r="M96" s="3" t="s">
        <v>165</v>
      </c>
      <c r="N96" s="6" t="s">
        <v>140</v>
      </c>
      <c r="O96" s="3" t="s">
        <v>141</v>
      </c>
      <c r="P96" s="5" t="s">
        <v>344</v>
      </c>
    </row>
    <row r="97" customFormat="false" ht="15" hidden="false" customHeight="true" outlineLevel="0" collapsed="false">
      <c r="A97" s="3" t="s">
        <v>345</v>
      </c>
      <c r="B97" s="3" t="n">
        <v>4</v>
      </c>
      <c r="C97" s="3" t="s">
        <v>149</v>
      </c>
      <c r="D97" s="3" t="n">
        <v>6</v>
      </c>
      <c r="E97" s="3" t="s">
        <v>312</v>
      </c>
      <c r="F97" s="3" t="s">
        <v>19</v>
      </c>
      <c r="G97" s="4" t="n">
        <v>7</v>
      </c>
      <c r="H97" s="5" t="s">
        <v>290</v>
      </c>
      <c r="I97" s="3" t="s">
        <v>163</v>
      </c>
      <c r="J97" s="3" t="s">
        <v>163</v>
      </c>
      <c r="K97" s="3" t="s">
        <v>164</v>
      </c>
      <c r="L97" s="3" t="n">
        <v>2025</v>
      </c>
      <c r="M97" s="3" t="s">
        <v>165</v>
      </c>
      <c r="N97" s="6" t="s">
        <v>140</v>
      </c>
      <c r="O97" s="3" t="s">
        <v>141</v>
      </c>
      <c r="P97" s="5" t="s">
        <v>346</v>
      </c>
    </row>
    <row r="98" customFormat="false" ht="15" hidden="false" customHeight="true" outlineLevel="0" collapsed="false">
      <c r="A98" s="3" t="s">
        <v>345</v>
      </c>
      <c r="B98" s="3" t="n">
        <v>4</v>
      </c>
      <c r="C98" s="3" t="s">
        <v>149</v>
      </c>
      <c r="D98" s="3" t="n">
        <v>6</v>
      </c>
      <c r="E98" s="3" t="s">
        <v>312</v>
      </c>
      <c r="F98" s="3" t="s">
        <v>27</v>
      </c>
      <c r="G98" s="4" t="n">
        <v>4</v>
      </c>
      <c r="H98" s="5" t="s">
        <v>290</v>
      </c>
      <c r="I98" s="3" t="s">
        <v>163</v>
      </c>
      <c r="J98" s="3" t="s">
        <v>163</v>
      </c>
      <c r="K98" s="3" t="s">
        <v>164</v>
      </c>
      <c r="L98" s="3" t="n">
        <v>2025</v>
      </c>
      <c r="M98" s="3" t="s">
        <v>165</v>
      </c>
      <c r="N98" s="6" t="s">
        <v>140</v>
      </c>
      <c r="O98" s="3" t="s">
        <v>141</v>
      </c>
      <c r="P98" s="5" t="s">
        <v>347</v>
      </c>
    </row>
    <row r="99" customFormat="false" ht="15" hidden="false" customHeight="true" outlineLevel="0" collapsed="false">
      <c r="A99" s="3" t="s">
        <v>345</v>
      </c>
      <c r="B99" s="3" t="n">
        <v>4</v>
      </c>
      <c r="C99" s="3" t="s">
        <v>149</v>
      </c>
      <c r="D99" s="3" t="n">
        <v>6</v>
      </c>
      <c r="E99" s="3" t="s">
        <v>312</v>
      </c>
      <c r="F99" s="3" t="s">
        <v>34</v>
      </c>
      <c r="G99" s="4" t="n">
        <v>8</v>
      </c>
      <c r="H99" s="5" t="s">
        <v>290</v>
      </c>
      <c r="I99" s="3" t="s">
        <v>163</v>
      </c>
      <c r="J99" s="3" t="s">
        <v>163</v>
      </c>
      <c r="K99" s="3" t="s">
        <v>164</v>
      </c>
      <c r="L99" s="3" t="n">
        <v>2025</v>
      </c>
      <c r="M99" s="3" t="s">
        <v>165</v>
      </c>
      <c r="N99" s="6" t="s">
        <v>140</v>
      </c>
      <c r="O99" s="3" t="s">
        <v>141</v>
      </c>
      <c r="P99" s="5" t="s">
        <v>348</v>
      </c>
    </row>
    <row r="100" customFormat="false" ht="15" hidden="false" customHeight="true" outlineLevel="0" collapsed="false">
      <c r="A100" s="3" t="s">
        <v>349</v>
      </c>
      <c r="B100" s="3" t="n">
        <v>4</v>
      </c>
      <c r="C100" s="3" t="s">
        <v>336</v>
      </c>
      <c r="D100" s="3" t="n">
        <v>4</v>
      </c>
      <c r="E100" s="3" t="s">
        <v>312</v>
      </c>
      <c r="F100" s="3" t="s">
        <v>19</v>
      </c>
      <c r="G100" s="4" t="n">
        <v>6</v>
      </c>
      <c r="H100" s="5" t="s">
        <v>290</v>
      </c>
      <c r="I100" s="3" t="s">
        <v>163</v>
      </c>
      <c r="J100" s="3" t="s">
        <v>163</v>
      </c>
      <c r="K100" s="3" t="s">
        <v>164</v>
      </c>
      <c r="L100" s="3" t="n">
        <v>2025</v>
      </c>
      <c r="M100" s="3" t="s">
        <v>165</v>
      </c>
      <c r="N100" s="6" t="s">
        <v>140</v>
      </c>
      <c r="O100" s="3" t="s">
        <v>141</v>
      </c>
      <c r="P100" s="5" t="s">
        <v>350</v>
      </c>
    </row>
    <row r="101" customFormat="false" ht="15" hidden="false" customHeight="true" outlineLevel="0" collapsed="false">
      <c r="A101" s="3" t="s">
        <v>349</v>
      </c>
      <c r="B101" s="3" t="n">
        <v>4</v>
      </c>
      <c r="C101" s="3" t="s">
        <v>336</v>
      </c>
      <c r="D101" s="3" t="n">
        <v>4</v>
      </c>
      <c r="E101" s="3" t="s">
        <v>312</v>
      </c>
      <c r="F101" s="3" t="s">
        <v>27</v>
      </c>
      <c r="G101" s="4" t="n">
        <v>5</v>
      </c>
      <c r="H101" s="5" t="s">
        <v>290</v>
      </c>
      <c r="I101" s="3" t="s">
        <v>163</v>
      </c>
      <c r="J101" s="3" t="s">
        <v>163</v>
      </c>
      <c r="K101" s="3" t="s">
        <v>164</v>
      </c>
      <c r="L101" s="3" t="n">
        <v>2025</v>
      </c>
      <c r="M101" s="3" t="s">
        <v>165</v>
      </c>
      <c r="N101" s="6" t="s">
        <v>140</v>
      </c>
      <c r="O101" s="3" t="s">
        <v>141</v>
      </c>
      <c r="P101" s="5" t="s">
        <v>351</v>
      </c>
    </row>
    <row r="102" customFormat="false" ht="15" hidden="false" customHeight="true" outlineLevel="0" collapsed="false">
      <c r="A102" s="3" t="s">
        <v>349</v>
      </c>
      <c r="B102" s="3" t="n">
        <v>4</v>
      </c>
      <c r="C102" s="3" t="s">
        <v>336</v>
      </c>
      <c r="D102" s="3" t="n">
        <v>4</v>
      </c>
      <c r="E102" s="3" t="s">
        <v>312</v>
      </c>
      <c r="F102" s="3" t="s">
        <v>34</v>
      </c>
      <c r="G102" s="4" t="n">
        <v>7</v>
      </c>
      <c r="H102" s="5" t="s">
        <v>290</v>
      </c>
      <c r="I102" s="3" t="s">
        <v>163</v>
      </c>
      <c r="J102" s="3" t="s">
        <v>163</v>
      </c>
      <c r="K102" s="3" t="s">
        <v>164</v>
      </c>
      <c r="L102" s="3" t="n">
        <v>2025</v>
      </c>
      <c r="M102" s="3" t="s">
        <v>165</v>
      </c>
      <c r="N102" s="6" t="s">
        <v>140</v>
      </c>
      <c r="O102" s="3" t="s">
        <v>141</v>
      </c>
      <c r="P102" s="5" t="s">
        <v>352</v>
      </c>
    </row>
  </sheetData>
  <autoFilter ref="A1:P1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0"/>
    <col collapsed="false" customWidth="true" hidden="false" outlineLevel="0" max="3" min="3" style="1" width="20"/>
  </cols>
  <sheetData>
    <row r="1" customFormat="false" ht="17.25" hidden="false" customHeight="true" outlineLevel="0" collapsed="false">
      <c r="A1" s="7" t="s">
        <v>353</v>
      </c>
    </row>
    <row r="2" customFormat="false" ht="15" hidden="false" customHeight="true" outlineLevel="0" collapsed="false">
      <c r="A2" s="8" t="s">
        <v>354</v>
      </c>
    </row>
    <row r="3" customFormat="false" ht="15" hidden="false" customHeight="true" outlineLevel="0" collapsed="false">
      <c r="A3" s="8"/>
    </row>
    <row r="4" customFormat="false" ht="15" hidden="false" customHeight="true" outlineLevel="0" collapsed="false">
      <c r="A4" s="9" t="s">
        <v>355</v>
      </c>
    </row>
    <row r="5" customFormat="false" ht="15" hidden="false" customHeight="true" outlineLevel="0" collapsed="false">
      <c r="A5" s="8" t="s">
        <v>356</v>
      </c>
    </row>
    <row r="6" customFormat="false" ht="15" hidden="false" customHeight="true" outlineLevel="0" collapsed="false">
      <c r="A6" s="8" t="s">
        <v>357</v>
      </c>
    </row>
    <row r="7" customFormat="false" ht="15" hidden="false" customHeight="true" outlineLevel="0" collapsed="false">
      <c r="A7" s="8"/>
    </row>
    <row r="8" customFormat="false" ht="15" hidden="false" customHeight="true" outlineLevel="0" collapsed="false">
      <c r="A8" s="9" t="s">
        <v>358</v>
      </c>
    </row>
    <row r="9" customFormat="false" ht="15" hidden="false" customHeight="true" outlineLevel="0" collapsed="false">
      <c r="A9" s="8" t="s">
        <v>359</v>
      </c>
      <c r="B9" s="8" t="s">
        <v>360</v>
      </c>
      <c r="C9" s="8" t="s">
        <v>361</v>
      </c>
    </row>
    <row r="10" customFormat="false" ht="15" hidden="false" customHeight="true" outlineLevel="0" collapsed="false">
      <c r="A10" s="8" t="s">
        <v>362</v>
      </c>
      <c r="B10" s="8" t="s">
        <v>363</v>
      </c>
      <c r="C10" s="8" t="s">
        <v>163</v>
      </c>
    </row>
    <row r="11" customFormat="false" ht="15" hidden="false" customHeight="true" outlineLevel="0" collapsed="false">
      <c r="A11" s="8" t="s">
        <v>364</v>
      </c>
      <c r="B11" s="8" t="s">
        <v>365</v>
      </c>
      <c r="C11" s="8" t="s">
        <v>366</v>
      </c>
    </row>
    <row r="12" customFormat="false" ht="15" hidden="false" customHeight="true" outlineLevel="0" collapsed="false">
      <c r="A12" s="8" t="s">
        <v>367</v>
      </c>
      <c r="B12" s="8" t="s">
        <v>368</v>
      </c>
      <c r="C12" s="8" t="s">
        <v>369</v>
      </c>
    </row>
    <row r="13" customFormat="false" ht="15" hidden="false" customHeight="true" outlineLevel="0" collapsed="false">
      <c r="A13" s="8" t="s">
        <v>370</v>
      </c>
      <c r="B13" s="8" t="s">
        <v>371</v>
      </c>
      <c r="C13" s="8" t="s">
        <v>366</v>
      </c>
    </row>
    <row r="14" customFormat="false" ht="15" hidden="false" customHeight="true" outlineLevel="0" collapsed="false">
      <c r="A14" s="8" t="s">
        <v>372</v>
      </c>
      <c r="B14" s="8" t="s">
        <v>373</v>
      </c>
      <c r="C14" s="8" t="s">
        <v>369</v>
      </c>
    </row>
    <row r="15" customFormat="false" ht="15" hidden="false" customHeight="true" outlineLevel="0" collapsed="false">
      <c r="A15" s="8" t="s">
        <v>374</v>
      </c>
      <c r="B15" s="8" t="s">
        <v>375</v>
      </c>
      <c r="C15" s="8" t="s">
        <v>369</v>
      </c>
    </row>
    <row r="16" customFormat="false" ht="15" hidden="false" customHeight="true" outlineLevel="0" collapsed="false">
      <c r="A16" s="8" t="s">
        <v>376</v>
      </c>
      <c r="B16" s="8" t="s">
        <v>377</v>
      </c>
      <c r="C16" s="8" t="s">
        <v>369</v>
      </c>
    </row>
    <row r="17" customFormat="false" ht="15" hidden="false" customHeight="true" outlineLevel="0" collapsed="false">
      <c r="A17" s="8" t="s">
        <v>378</v>
      </c>
      <c r="B17" s="8" t="s">
        <v>379</v>
      </c>
      <c r="C17" s="8" t="s">
        <v>369</v>
      </c>
    </row>
    <row r="18" customFormat="false" ht="15" hidden="false" customHeight="true" outlineLevel="0" collapsed="false">
      <c r="A18" s="8" t="s">
        <v>380</v>
      </c>
      <c r="B18" s="8" t="s">
        <v>381</v>
      </c>
      <c r="C18" s="8" t="s">
        <v>369</v>
      </c>
    </row>
    <row r="19" customFormat="false" ht="15" hidden="false" customHeight="true" outlineLevel="0" collapsed="false">
      <c r="A19" s="8" t="s">
        <v>382</v>
      </c>
      <c r="B19" s="8" t="s">
        <v>383</v>
      </c>
      <c r="C19" s="8" t="s">
        <v>369</v>
      </c>
    </row>
    <row r="20" customFormat="false" ht="15" hidden="false" customHeight="true" outlineLevel="0" collapsed="false">
      <c r="A20" s="8" t="s">
        <v>384</v>
      </c>
      <c r="B20" s="8" t="s">
        <v>385</v>
      </c>
      <c r="C20" s="8" t="s">
        <v>369</v>
      </c>
    </row>
    <row r="21" customFormat="false" ht="15" hidden="false" customHeight="true" outlineLevel="0" collapsed="false">
      <c r="A21" s="8" t="s">
        <v>386</v>
      </c>
      <c r="B21" s="8" t="s">
        <v>387</v>
      </c>
      <c r="C21" s="8" t="s">
        <v>369</v>
      </c>
    </row>
    <row r="22" customFormat="false" ht="15" hidden="false" customHeight="true" outlineLevel="0" collapsed="false">
      <c r="A22" s="8" t="s">
        <v>388</v>
      </c>
      <c r="B22" s="8" t="s">
        <v>389</v>
      </c>
      <c r="C22" s="8" t="s">
        <v>369</v>
      </c>
    </row>
    <row r="23" customFormat="false" ht="15" hidden="false" customHeight="true" outlineLevel="0" collapsed="false">
      <c r="A23" s="8" t="s">
        <v>390</v>
      </c>
      <c r="B23" s="8" t="s">
        <v>391</v>
      </c>
      <c r="C23" s="8" t="s">
        <v>369</v>
      </c>
    </row>
    <row r="24" customFormat="false" ht="15" hidden="false" customHeight="true" outlineLevel="0" collapsed="false">
      <c r="A24" s="8" t="s">
        <v>392</v>
      </c>
      <c r="B24" s="8" t="s">
        <v>393</v>
      </c>
      <c r="C24" s="8" t="s">
        <v>394</v>
      </c>
    </row>
    <row r="25" customFormat="false" ht="15" hidden="false" customHeight="true" outlineLevel="0" collapsed="false">
      <c r="A25" s="8" t="s">
        <v>395</v>
      </c>
      <c r="B25" s="8" t="s">
        <v>396</v>
      </c>
      <c r="C25" s="8" t="s">
        <v>397</v>
      </c>
    </row>
    <row r="26" customFormat="false" ht="15" hidden="false" customHeight="true" outlineLevel="0" collapsed="false">
      <c r="A26" s="8" t="s">
        <v>398</v>
      </c>
      <c r="B26" s="8" t="s">
        <v>399</v>
      </c>
      <c r="C26" s="8" t="s">
        <v>366</v>
      </c>
    </row>
    <row r="27" customFormat="false" ht="15" hidden="false" customHeight="true" outlineLevel="0" collapsed="false">
      <c r="A27" s="8"/>
    </row>
    <row r="28" customFormat="false" ht="15" hidden="false" customHeight="true" outlineLevel="0" collapsed="false">
      <c r="A28" s="9" t="s">
        <v>400</v>
      </c>
    </row>
    <row r="29" customFormat="false" ht="15" hidden="false" customHeight="true" outlineLevel="0" collapsed="false">
      <c r="A29" s="8" t="s">
        <v>401</v>
      </c>
      <c r="B29" s="8"/>
      <c r="C29" s="8"/>
    </row>
    <row r="30" customFormat="false" ht="15" hidden="false" customHeight="true" outlineLevel="0" collapsed="false">
      <c r="A30" s="8" t="s">
        <v>402</v>
      </c>
      <c r="B30" s="8"/>
      <c r="C30" s="8"/>
    </row>
    <row r="31" customFormat="false" ht="15" hidden="false" customHeight="true" outlineLevel="0" collapsed="false">
      <c r="A31" s="8" t="s">
        <v>403</v>
      </c>
      <c r="B31" s="8"/>
      <c r="C31" s="8"/>
    </row>
    <row r="32" customFormat="false" ht="15" hidden="false" customHeight="true" outlineLevel="0" collapsed="false">
      <c r="A32" s="8" t="s">
        <v>404</v>
      </c>
      <c r="B32" s="8"/>
      <c r="C32" s="8"/>
    </row>
    <row r="33" customFormat="false" ht="15" hidden="false" customHeight="true" outlineLevel="0" collapsed="false">
      <c r="A33" s="8" t="s">
        <v>405</v>
      </c>
      <c r="B33" s="8"/>
      <c r="C33" s="8"/>
    </row>
    <row r="34" customFormat="false" ht="15" hidden="false" customHeight="true" outlineLevel="0" collapsed="false">
      <c r="A34" s="8"/>
    </row>
    <row r="35" customFormat="false" ht="15" hidden="false" customHeight="true" outlineLevel="0" collapsed="false">
      <c r="A35" s="9" t="s">
        <v>406</v>
      </c>
    </row>
    <row r="36" customFormat="false" ht="15" hidden="false" customHeight="true" outlineLevel="0" collapsed="false">
      <c r="A36" s="8" t="s">
        <v>407</v>
      </c>
    </row>
    <row r="37" customFormat="false" ht="15" hidden="false" customHeight="true" outlineLevel="0" collapsed="false">
      <c r="A37" s="8" t="s">
        <v>408</v>
      </c>
    </row>
    <row r="38" customFormat="false" ht="15" hidden="false" customHeight="true" outlineLevel="0" collapsed="false">
      <c r="A38" s="8" t="s">
        <v>409</v>
      </c>
    </row>
    <row r="39" customFormat="false" ht="15" hidden="false" customHeight="true" outlineLevel="0" collapsed="false">
      <c r="A39" s="8" t="s">
        <v>410</v>
      </c>
    </row>
    <row r="40" customFormat="false" ht="15" hidden="false" customHeight="true" outlineLevel="0" collapsed="false">
      <c r="A40" s="8" t="s">
        <v>411</v>
      </c>
    </row>
    <row r="41" customFormat="false" ht="15" hidden="false" customHeight="true" outlineLevel="0" collapsed="false">
      <c r="A41" s="8"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1" width="18"/>
  </cols>
  <sheetData>
    <row r="1" customFormat="false" ht="15" hidden="false" customHeight="true" outlineLevel="0" collapsed="false">
      <c r="A1" s="2" t="s">
        <v>359</v>
      </c>
      <c r="B1" s="2" t="s">
        <v>413</v>
      </c>
      <c r="C1" s="2" t="s">
        <v>414</v>
      </c>
      <c r="D1" s="2" t="s">
        <v>9</v>
      </c>
      <c r="E1" s="2" t="s">
        <v>415</v>
      </c>
      <c r="F1" s="2" t="s">
        <v>416</v>
      </c>
      <c r="G1" s="2" t="s">
        <v>417</v>
      </c>
    </row>
    <row r="2" customFormat="false" ht="15" hidden="false" customHeight="true" outlineLevel="0" collapsed="false">
      <c r="A2" s="3" t="s">
        <v>372</v>
      </c>
      <c r="B2" s="3" t="s">
        <v>418</v>
      </c>
      <c r="C2" s="3" t="s">
        <v>419</v>
      </c>
      <c r="D2" s="3" t="s">
        <v>163</v>
      </c>
      <c r="E2" s="3" t="s">
        <v>420</v>
      </c>
      <c r="F2" s="3" t="s">
        <v>163</v>
      </c>
      <c r="G2" s="3" t="s">
        <v>421</v>
      </c>
    </row>
    <row r="3" customFormat="false" ht="15" hidden="false" customHeight="true" outlineLevel="0" collapsed="false">
      <c r="A3" s="3" t="s">
        <v>372</v>
      </c>
      <c r="B3" s="3" t="s">
        <v>422</v>
      </c>
      <c r="C3" s="3" t="s">
        <v>419</v>
      </c>
      <c r="D3" s="3" t="s">
        <v>163</v>
      </c>
      <c r="E3" s="3" t="s">
        <v>420</v>
      </c>
      <c r="F3" s="3" t="s">
        <v>163</v>
      </c>
      <c r="G3" s="3" t="s">
        <v>423</v>
      </c>
    </row>
    <row r="4" customFormat="false" ht="15" hidden="false" customHeight="true" outlineLevel="0" collapsed="false">
      <c r="A4" s="3" t="s">
        <v>372</v>
      </c>
      <c r="B4" s="3" t="s">
        <v>5</v>
      </c>
      <c r="C4" s="3" t="s">
        <v>424</v>
      </c>
      <c r="D4" s="3" t="s">
        <v>163</v>
      </c>
      <c r="E4" s="3" t="s">
        <v>420</v>
      </c>
      <c r="F4" s="3" t="s">
        <v>425</v>
      </c>
      <c r="G4" s="3" t="s">
        <v>426</v>
      </c>
    </row>
    <row r="5" customFormat="false" ht="15" hidden="false" customHeight="true" outlineLevel="0" collapsed="false">
      <c r="A5" s="3" t="s">
        <v>372</v>
      </c>
      <c r="B5" s="3" t="s">
        <v>11</v>
      </c>
      <c r="C5" s="3" t="s">
        <v>427</v>
      </c>
      <c r="D5" s="3" t="s">
        <v>163</v>
      </c>
      <c r="E5" s="3" t="s">
        <v>420</v>
      </c>
      <c r="F5" s="3" t="s">
        <v>428</v>
      </c>
      <c r="G5" s="3" t="s">
        <v>429</v>
      </c>
    </row>
    <row r="6" customFormat="false" ht="15" hidden="false" customHeight="true" outlineLevel="0" collapsed="false">
      <c r="A6" s="3" t="s">
        <v>372</v>
      </c>
      <c r="B6" s="3" t="s">
        <v>430</v>
      </c>
      <c r="C6" s="3" t="s">
        <v>431</v>
      </c>
      <c r="D6" s="3" t="s">
        <v>220</v>
      </c>
      <c r="E6" s="3" t="s">
        <v>420</v>
      </c>
      <c r="F6" s="3" t="s">
        <v>432</v>
      </c>
      <c r="G6" s="3" t="s">
        <v>433</v>
      </c>
    </row>
    <row r="7" customFormat="false" ht="15" hidden="false" customHeight="true" outlineLevel="0" collapsed="false">
      <c r="A7" s="3" t="s">
        <v>372</v>
      </c>
      <c r="B7" s="3" t="s">
        <v>434</v>
      </c>
      <c r="C7" s="3" t="s">
        <v>431</v>
      </c>
      <c r="D7" s="3" t="s">
        <v>435</v>
      </c>
      <c r="E7" s="3" t="s">
        <v>436</v>
      </c>
      <c r="F7" s="3" t="s">
        <v>432</v>
      </c>
      <c r="G7" s="3" t="s">
        <v>437</v>
      </c>
    </row>
    <row r="8" customFormat="false" ht="15" hidden="false" customHeight="true" outlineLevel="0" collapsed="false">
      <c r="A8" s="3" t="s">
        <v>372</v>
      </c>
      <c r="B8" s="3" t="s">
        <v>438</v>
      </c>
      <c r="C8" s="3" t="s">
        <v>424</v>
      </c>
      <c r="D8" s="3" t="s">
        <v>163</v>
      </c>
      <c r="E8" s="3" t="s">
        <v>436</v>
      </c>
      <c r="F8" s="3" t="s">
        <v>439</v>
      </c>
      <c r="G8" s="3" t="s">
        <v>440</v>
      </c>
    </row>
    <row r="9" customFormat="false" ht="15" hidden="false" customHeight="true" outlineLevel="0" collapsed="false">
      <c r="A9" s="3" t="s">
        <v>372</v>
      </c>
      <c r="B9" s="3" t="s">
        <v>12</v>
      </c>
      <c r="C9" s="3" t="s">
        <v>424</v>
      </c>
      <c r="D9" s="3" t="s">
        <v>163</v>
      </c>
      <c r="E9" s="3" t="s">
        <v>420</v>
      </c>
      <c r="F9" s="3" t="s">
        <v>441</v>
      </c>
      <c r="G9" s="3" t="s">
        <v>442</v>
      </c>
    </row>
    <row r="10" customFormat="false" ht="15" hidden="false" customHeight="true" outlineLevel="0" collapsed="false">
      <c r="A10" s="3" t="s">
        <v>372</v>
      </c>
      <c r="B10" s="3" t="s">
        <v>443</v>
      </c>
      <c r="C10" s="3" t="s">
        <v>419</v>
      </c>
      <c r="D10" s="3" t="s">
        <v>163</v>
      </c>
      <c r="E10" s="3" t="s">
        <v>420</v>
      </c>
      <c r="F10" s="3" t="s">
        <v>444</v>
      </c>
      <c r="G10" s="3" t="s">
        <v>445</v>
      </c>
    </row>
    <row r="11" customFormat="false" ht="15" hidden="false" customHeight="true" outlineLevel="0" collapsed="false">
      <c r="A11" s="3" t="s">
        <v>372</v>
      </c>
      <c r="B11" s="3" t="s">
        <v>446</v>
      </c>
      <c r="C11" s="3" t="s">
        <v>419</v>
      </c>
      <c r="D11" s="3" t="s">
        <v>163</v>
      </c>
      <c r="E11" s="3" t="s">
        <v>436</v>
      </c>
      <c r="F11" s="3" t="s">
        <v>163</v>
      </c>
      <c r="G11" s="3" t="s">
        <v>447</v>
      </c>
    </row>
    <row r="12" customFormat="false" ht="15" hidden="false" customHeight="true" outlineLevel="0" collapsed="false">
      <c r="A12" s="3" t="s">
        <v>374</v>
      </c>
      <c r="B12" s="3" t="s">
        <v>448</v>
      </c>
      <c r="C12" s="3" t="s">
        <v>419</v>
      </c>
      <c r="D12" s="3" t="s">
        <v>163</v>
      </c>
      <c r="E12" s="3" t="s">
        <v>420</v>
      </c>
      <c r="F12" s="3" t="s">
        <v>163</v>
      </c>
      <c r="G12" s="3" t="s">
        <v>449</v>
      </c>
    </row>
    <row r="13" customFormat="false" ht="15" hidden="false" customHeight="true" outlineLevel="0" collapsed="false">
      <c r="A13" s="3" t="s">
        <v>374</v>
      </c>
      <c r="B13" s="3" t="s">
        <v>450</v>
      </c>
      <c r="C13" s="3" t="s">
        <v>419</v>
      </c>
      <c r="D13" s="3" t="s">
        <v>163</v>
      </c>
      <c r="E13" s="3" t="s">
        <v>420</v>
      </c>
      <c r="F13" s="3" t="s">
        <v>163</v>
      </c>
      <c r="G13" s="3" t="s">
        <v>451</v>
      </c>
    </row>
    <row r="14" customFormat="false" ht="15" hidden="false" customHeight="true" outlineLevel="0" collapsed="false">
      <c r="A14" s="3" t="s">
        <v>374</v>
      </c>
      <c r="B14" s="3" t="s">
        <v>5</v>
      </c>
      <c r="C14" s="3" t="s">
        <v>424</v>
      </c>
      <c r="D14" s="3" t="s">
        <v>163</v>
      </c>
      <c r="E14" s="3" t="s">
        <v>420</v>
      </c>
      <c r="F14" s="3" t="s">
        <v>452</v>
      </c>
      <c r="G14" s="3" t="s">
        <v>453</v>
      </c>
    </row>
    <row r="15" customFormat="false" ht="15" hidden="false" customHeight="true" outlineLevel="0" collapsed="false">
      <c r="A15" s="3" t="s">
        <v>374</v>
      </c>
      <c r="B15" s="3" t="s">
        <v>11</v>
      </c>
      <c r="C15" s="3" t="s">
        <v>427</v>
      </c>
      <c r="D15" s="3" t="s">
        <v>163</v>
      </c>
      <c r="E15" s="3" t="s">
        <v>420</v>
      </c>
      <c r="F15" s="3" t="s">
        <v>454</v>
      </c>
      <c r="G15" s="3" t="s">
        <v>455</v>
      </c>
    </row>
    <row r="16" customFormat="false" ht="15" hidden="false" customHeight="true" outlineLevel="0" collapsed="false">
      <c r="A16" s="3" t="s">
        <v>374</v>
      </c>
      <c r="B16" s="3" t="s">
        <v>456</v>
      </c>
      <c r="C16" s="3" t="s">
        <v>431</v>
      </c>
      <c r="D16" s="3" t="s">
        <v>277</v>
      </c>
      <c r="E16" s="3" t="s">
        <v>420</v>
      </c>
      <c r="F16" s="3" t="s">
        <v>432</v>
      </c>
      <c r="G16" s="3" t="s">
        <v>457</v>
      </c>
    </row>
    <row r="17" customFormat="false" ht="15" hidden="false" customHeight="true" outlineLevel="0" collapsed="false">
      <c r="A17" s="3" t="s">
        <v>374</v>
      </c>
      <c r="B17" s="3" t="s">
        <v>458</v>
      </c>
      <c r="C17" s="3" t="s">
        <v>427</v>
      </c>
      <c r="D17" s="3" t="s">
        <v>459</v>
      </c>
      <c r="E17" s="3" t="s">
        <v>420</v>
      </c>
      <c r="F17" s="3" t="s">
        <v>432</v>
      </c>
      <c r="G17" s="3" t="s">
        <v>460</v>
      </c>
    </row>
    <row r="18" customFormat="false" ht="15" hidden="false" customHeight="true" outlineLevel="0" collapsed="false">
      <c r="A18" s="3" t="s">
        <v>374</v>
      </c>
      <c r="B18" s="3" t="s">
        <v>461</v>
      </c>
      <c r="C18" s="3" t="s">
        <v>431</v>
      </c>
      <c r="D18" s="3" t="s">
        <v>462</v>
      </c>
      <c r="E18" s="3" t="s">
        <v>420</v>
      </c>
      <c r="F18" s="3" t="s">
        <v>432</v>
      </c>
      <c r="G18" s="3" t="s">
        <v>463</v>
      </c>
    </row>
    <row r="19" customFormat="false" ht="15" hidden="false" customHeight="true" outlineLevel="0" collapsed="false">
      <c r="A19" s="3" t="s">
        <v>374</v>
      </c>
      <c r="B19" s="3" t="s">
        <v>464</v>
      </c>
      <c r="C19" s="3" t="s">
        <v>465</v>
      </c>
      <c r="D19" s="3" t="s">
        <v>163</v>
      </c>
      <c r="E19" s="3" t="s">
        <v>420</v>
      </c>
      <c r="F19" s="3" t="s">
        <v>466</v>
      </c>
      <c r="G19" s="3" t="s">
        <v>467</v>
      </c>
    </row>
    <row r="20" customFormat="false" ht="15" hidden="false" customHeight="true" outlineLevel="0" collapsed="false">
      <c r="A20" s="3" t="s">
        <v>374</v>
      </c>
      <c r="B20" s="3" t="s">
        <v>12</v>
      </c>
      <c r="C20" s="3" t="s">
        <v>424</v>
      </c>
      <c r="D20" s="3" t="s">
        <v>163</v>
      </c>
      <c r="E20" s="3" t="s">
        <v>420</v>
      </c>
      <c r="F20" s="3" t="s">
        <v>441</v>
      </c>
      <c r="G20" s="3" t="s">
        <v>468</v>
      </c>
    </row>
    <row r="21" customFormat="false" ht="15" hidden="false" customHeight="true" outlineLevel="0" collapsed="false">
      <c r="A21" s="3" t="s">
        <v>374</v>
      </c>
      <c r="B21" s="3" t="s">
        <v>443</v>
      </c>
      <c r="C21" s="3" t="s">
        <v>419</v>
      </c>
      <c r="D21" s="3" t="s">
        <v>163</v>
      </c>
      <c r="E21" s="3" t="s">
        <v>420</v>
      </c>
      <c r="F21" s="3" t="s">
        <v>444</v>
      </c>
      <c r="G21" s="3" t="s">
        <v>445</v>
      </c>
    </row>
    <row r="22" customFormat="false" ht="15" hidden="false" customHeight="true" outlineLevel="0" collapsed="false">
      <c r="A22" s="3" t="s">
        <v>374</v>
      </c>
      <c r="B22" s="3" t="s">
        <v>446</v>
      </c>
      <c r="C22" s="3" t="s">
        <v>419</v>
      </c>
      <c r="D22" s="3" t="s">
        <v>163</v>
      </c>
      <c r="E22" s="3" t="s">
        <v>436</v>
      </c>
      <c r="F22" s="3" t="s">
        <v>163</v>
      </c>
      <c r="G22" s="3" t="s">
        <v>469</v>
      </c>
    </row>
    <row r="23" customFormat="false" ht="15" hidden="false" customHeight="true" outlineLevel="0" collapsed="false">
      <c r="A23" s="3" t="s">
        <v>376</v>
      </c>
      <c r="B23" s="3" t="s">
        <v>470</v>
      </c>
      <c r="C23" s="3" t="s">
        <v>419</v>
      </c>
      <c r="D23" s="3" t="s">
        <v>163</v>
      </c>
      <c r="E23" s="3" t="s">
        <v>420</v>
      </c>
      <c r="F23" s="3" t="s">
        <v>163</v>
      </c>
      <c r="G23" s="3" t="s">
        <v>471</v>
      </c>
    </row>
    <row r="24" customFormat="false" ht="15" hidden="false" customHeight="true" outlineLevel="0" collapsed="false">
      <c r="A24" s="3" t="s">
        <v>376</v>
      </c>
      <c r="B24" s="3" t="s">
        <v>418</v>
      </c>
      <c r="C24" s="3" t="s">
        <v>419</v>
      </c>
      <c r="D24" s="3" t="s">
        <v>163</v>
      </c>
      <c r="E24" s="3" t="s">
        <v>420</v>
      </c>
      <c r="F24" s="3" t="s">
        <v>163</v>
      </c>
      <c r="G24" s="3" t="s">
        <v>472</v>
      </c>
    </row>
    <row r="25" customFormat="false" ht="15" hidden="false" customHeight="true" outlineLevel="0" collapsed="false">
      <c r="A25" s="3" t="s">
        <v>376</v>
      </c>
      <c r="B25" s="3" t="s">
        <v>473</v>
      </c>
      <c r="C25" s="3" t="s">
        <v>424</v>
      </c>
      <c r="D25" s="3" t="s">
        <v>163</v>
      </c>
      <c r="E25" s="3" t="s">
        <v>420</v>
      </c>
      <c r="F25" s="3" t="s">
        <v>474</v>
      </c>
      <c r="G25" s="3" t="s">
        <v>475</v>
      </c>
    </row>
    <row r="26" customFormat="false" ht="15" hidden="false" customHeight="true" outlineLevel="0" collapsed="false">
      <c r="A26" s="3" t="s">
        <v>376</v>
      </c>
      <c r="B26" s="3" t="s">
        <v>476</v>
      </c>
      <c r="C26" s="3" t="s">
        <v>431</v>
      </c>
      <c r="D26" s="3" t="s">
        <v>435</v>
      </c>
      <c r="E26" s="3" t="s">
        <v>420</v>
      </c>
      <c r="F26" s="3" t="s">
        <v>432</v>
      </c>
      <c r="G26" s="3" t="s">
        <v>477</v>
      </c>
    </row>
    <row r="27" customFormat="false" ht="15" hidden="false" customHeight="true" outlineLevel="0" collapsed="false">
      <c r="A27" s="3" t="s">
        <v>376</v>
      </c>
      <c r="B27" s="3" t="s">
        <v>478</v>
      </c>
      <c r="C27" s="3" t="s">
        <v>431</v>
      </c>
      <c r="D27" s="3" t="s">
        <v>79</v>
      </c>
      <c r="E27" s="3" t="s">
        <v>420</v>
      </c>
      <c r="F27" s="3" t="s">
        <v>479</v>
      </c>
      <c r="G27" s="3" t="s">
        <v>480</v>
      </c>
    </row>
    <row r="28" customFormat="false" ht="15" hidden="false" customHeight="true" outlineLevel="0" collapsed="false">
      <c r="A28" s="3" t="s">
        <v>376</v>
      </c>
      <c r="B28" s="3" t="s">
        <v>481</v>
      </c>
      <c r="C28" s="3" t="s">
        <v>431</v>
      </c>
      <c r="D28" s="3" t="s">
        <v>79</v>
      </c>
      <c r="E28" s="3" t="s">
        <v>420</v>
      </c>
      <c r="F28" s="3" t="s">
        <v>479</v>
      </c>
      <c r="G28" s="3" t="s">
        <v>482</v>
      </c>
    </row>
    <row r="29" customFormat="false" ht="15" hidden="false" customHeight="true" outlineLevel="0" collapsed="false">
      <c r="A29" s="3" t="s">
        <v>376</v>
      </c>
      <c r="B29" s="3" t="s">
        <v>483</v>
      </c>
      <c r="C29" s="3" t="s">
        <v>431</v>
      </c>
      <c r="D29" s="3" t="s">
        <v>484</v>
      </c>
      <c r="E29" s="3" t="s">
        <v>436</v>
      </c>
      <c r="F29" s="3" t="s">
        <v>432</v>
      </c>
      <c r="G29" s="3" t="s">
        <v>485</v>
      </c>
    </row>
    <row r="30" customFormat="false" ht="15" hidden="false" customHeight="true" outlineLevel="0" collapsed="false">
      <c r="A30" s="3" t="s">
        <v>376</v>
      </c>
      <c r="B30" s="3" t="s">
        <v>486</v>
      </c>
      <c r="C30" s="3" t="s">
        <v>427</v>
      </c>
      <c r="D30" s="3" t="s">
        <v>459</v>
      </c>
      <c r="E30" s="3" t="s">
        <v>420</v>
      </c>
      <c r="F30" s="3" t="s">
        <v>432</v>
      </c>
      <c r="G30" s="3" t="s">
        <v>487</v>
      </c>
    </row>
    <row r="31" customFormat="false" ht="15" hidden="false" customHeight="true" outlineLevel="0" collapsed="false">
      <c r="A31" s="3" t="s">
        <v>376</v>
      </c>
      <c r="B31" s="3" t="s">
        <v>488</v>
      </c>
      <c r="C31" s="3" t="s">
        <v>431</v>
      </c>
      <c r="D31" s="3" t="s">
        <v>489</v>
      </c>
      <c r="E31" s="3" t="s">
        <v>436</v>
      </c>
      <c r="F31" s="3" t="s">
        <v>432</v>
      </c>
      <c r="G31" s="3" t="s">
        <v>490</v>
      </c>
    </row>
    <row r="32" customFormat="false" ht="15" hidden="false" customHeight="true" outlineLevel="0" collapsed="false">
      <c r="A32" s="3" t="s">
        <v>376</v>
      </c>
      <c r="B32" s="3" t="s">
        <v>491</v>
      </c>
      <c r="C32" s="3" t="s">
        <v>427</v>
      </c>
      <c r="D32" s="3" t="s">
        <v>163</v>
      </c>
      <c r="E32" s="3" t="s">
        <v>420</v>
      </c>
      <c r="F32" s="3" t="s">
        <v>492</v>
      </c>
      <c r="G32" s="3" t="s">
        <v>493</v>
      </c>
    </row>
    <row r="33" customFormat="false" ht="15" hidden="false" customHeight="true" outlineLevel="0" collapsed="false">
      <c r="A33" s="3" t="s">
        <v>376</v>
      </c>
      <c r="B33" s="3" t="s">
        <v>443</v>
      </c>
      <c r="C33" s="3" t="s">
        <v>419</v>
      </c>
      <c r="D33" s="3" t="s">
        <v>163</v>
      </c>
      <c r="E33" s="3" t="s">
        <v>420</v>
      </c>
      <c r="F33" s="3" t="s">
        <v>444</v>
      </c>
      <c r="G33" s="3" t="s">
        <v>494</v>
      </c>
    </row>
    <row r="34" customFormat="false" ht="15" hidden="false" customHeight="true" outlineLevel="0" collapsed="false">
      <c r="A34" s="3" t="s">
        <v>378</v>
      </c>
      <c r="B34" s="3" t="s">
        <v>453</v>
      </c>
      <c r="C34" s="3" t="s">
        <v>419</v>
      </c>
      <c r="D34" s="3" t="s">
        <v>163</v>
      </c>
      <c r="E34" s="3" t="s">
        <v>420</v>
      </c>
      <c r="F34" s="3" t="s">
        <v>163</v>
      </c>
      <c r="G34" s="3" t="s">
        <v>495</v>
      </c>
    </row>
    <row r="35" customFormat="false" ht="15" hidden="false" customHeight="true" outlineLevel="0" collapsed="false">
      <c r="A35" s="3" t="s">
        <v>378</v>
      </c>
      <c r="B35" s="3" t="s">
        <v>496</v>
      </c>
      <c r="C35" s="3" t="s">
        <v>431</v>
      </c>
      <c r="D35" s="3" t="s">
        <v>50</v>
      </c>
      <c r="E35" s="3" t="s">
        <v>420</v>
      </c>
      <c r="F35" s="3" t="s">
        <v>432</v>
      </c>
      <c r="G35" s="3" t="s">
        <v>497</v>
      </c>
    </row>
    <row r="36" customFormat="false" ht="15" hidden="false" customHeight="true" outlineLevel="0" collapsed="false">
      <c r="A36" s="3" t="s">
        <v>378</v>
      </c>
      <c r="B36" s="3" t="s">
        <v>498</v>
      </c>
      <c r="C36" s="3" t="s">
        <v>419</v>
      </c>
      <c r="D36" s="3" t="s">
        <v>163</v>
      </c>
      <c r="E36" s="3" t="s">
        <v>436</v>
      </c>
      <c r="F36" s="3" t="s">
        <v>163</v>
      </c>
      <c r="G36" s="3" t="s">
        <v>499</v>
      </c>
    </row>
    <row r="37" customFormat="false" ht="15" hidden="false" customHeight="true" outlineLevel="0" collapsed="false">
      <c r="A37" s="3" t="s">
        <v>378</v>
      </c>
      <c r="B37" s="3" t="s">
        <v>500</v>
      </c>
      <c r="C37" s="3" t="s">
        <v>431</v>
      </c>
      <c r="D37" s="3" t="s">
        <v>50</v>
      </c>
      <c r="E37" s="3" t="s">
        <v>436</v>
      </c>
      <c r="F37" s="3" t="s">
        <v>432</v>
      </c>
      <c r="G37" s="3" t="s">
        <v>501</v>
      </c>
    </row>
    <row r="38" customFormat="false" ht="15" hidden="false" customHeight="true" outlineLevel="0" collapsed="false">
      <c r="A38" s="3" t="s">
        <v>378</v>
      </c>
      <c r="B38" s="3" t="s">
        <v>502</v>
      </c>
      <c r="C38" s="3" t="s">
        <v>431</v>
      </c>
      <c r="D38" s="3" t="s">
        <v>503</v>
      </c>
      <c r="E38" s="3" t="s">
        <v>436</v>
      </c>
      <c r="F38" s="3" t="s">
        <v>432</v>
      </c>
      <c r="G38" s="3" t="s">
        <v>504</v>
      </c>
    </row>
    <row r="39" customFormat="false" ht="15" hidden="false" customHeight="true" outlineLevel="0" collapsed="false">
      <c r="A39" s="3" t="s">
        <v>378</v>
      </c>
      <c r="B39" s="3" t="s">
        <v>505</v>
      </c>
      <c r="C39" s="3" t="s">
        <v>431</v>
      </c>
      <c r="D39" s="3" t="s">
        <v>506</v>
      </c>
      <c r="E39" s="3" t="s">
        <v>436</v>
      </c>
      <c r="F39" s="3" t="s">
        <v>432</v>
      </c>
      <c r="G39" s="3" t="s">
        <v>507</v>
      </c>
    </row>
    <row r="40" customFormat="false" ht="15" hidden="false" customHeight="true" outlineLevel="0" collapsed="false">
      <c r="A40" s="3" t="s">
        <v>378</v>
      </c>
      <c r="B40" s="3" t="s">
        <v>443</v>
      </c>
      <c r="C40" s="3" t="s">
        <v>419</v>
      </c>
      <c r="D40" s="3" t="s">
        <v>163</v>
      </c>
      <c r="E40" s="3" t="s">
        <v>420</v>
      </c>
      <c r="F40" s="3" t="s">
        <v>444</v>
      </c>
      <c r="G40" s="3" t="s">
        <v>494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120"/>
    <col collapsed="false" customWidth="true" hidden="false" outlineLevel="0" max="3" min="3" style="1" width="22"/>
    <col collapsed="false" customWidth="true" hidden="false" outlineLevel="0" max="4" min="4" style="1" width="80"/>
  </cols>
  <sheetData>
    <row r="1" customFormat="false" ht="15" hidden="false" customHeight="true" outlineLevel="0" collapsed="false">
      <c r="A1" s="2" t="s">
        <v>508</v>
      </c>
      <c r="B1" s="2" t="s">
        <v>509</v>
      </c>
      <c r="C1" s="2" t="s">
        <v>510</v>
      </c>
      <c r="D1" s="2" t="s">
        <v>511</v>
      </c>
    </row>
    <row r="2" customFormat="false" ht="68.25" hidden="false" customHeight="true" outlineLevel="0" collapsed="false">
      <c r="A2" s="10" t="s">
        <v>512</v>
      </c>
      <c r="B2" s="10" t="s">
        <v>513</v>
      </c>
      <c r="C2" s="10" t="s">
        <v>372</v>
      </c>
      <c r="D2" s="10" t="s">
        <v>514</v>
      </c>
    </row>
    <row r="3" customFormat="false" ht="57" hidden="false" customHeight="true" outlineLevel="0" collapsed="false">
      <c r="A3" s="10" t="s">
        <v>515</v>
      </c>
      <c r="B3" s="10" t="s">
        <v>516</v>
      </c>
      <c r="C3" s="10" t="s">
        <v>374</v>
      </c>
      <c r="D3" s="10" t="s">
        <v>517</v>
      </c>
    </row>
    <row r="4" customFormat="false" ht="57" hidden="false" customHeight="true" outlineLevel="0" collapsed="false">
      <c r="A4" s="10" t="s">
        <v>518</v>
      </c>
      <c r="B4" s="10" t="s">
        <v>519</v>
      </c>
      <c r="C4" s="10" t="s">
        <v>376</v>
      </c>
      <c r="D4" s="10" t="s">
        <v>520</v>
      </c>
    </row>
    <row r="5" customFormat="false" ht="45.75" hidden="false" customHeight="true" outlineLevel="0" collapsed="false">
      <c r="A5" s="10" t="s">
        <v>521</v>
      </c>
      <c r="B5" s="10" t="s">
        <v>522</v>
      </c>
      <c r="C5" s="10" t="s">
        <v>378</v>
      </c>
      <c r="D5" s="10" t="s">
        <v>523</v>
      </c>
    </row>
    <row r="6" customFormat="false" ht="45.75" hidden="false" customHeight="true" outlineLevel="0" collapsed="false">
      <c r="A6" s="10" t="s">
        <v>524</v>
      </c>
      <c r="B6" s="10" t="s">
        <v>525</v>
      </c>
      <c r="C6" s="10" t="s">
        <v>384</v>
      </c>
      <c r="D6" s="10" t="s">
        <v>526</v>
      </c>
    </row>
    <row r="7" customFormat="false" ht="45.75" hidden="false" customHeight="true" outlineLevel="0" collapsed="false">
      <c r="A7" s="10" t="s">
        <v>527</v>
      </c>
      <c r="B7" s="10" t="s">
        <v>528</v>
      </c>
      <c r="C7" s="10" t="s">
        <v>386</v>
      </c>
      <c r="D7" s="10" t="s">
        <v>529</v>
      </c>
    </row>
    <row r="8" customFormat="false" ht="45.75" hidden="false" customHeight="true" outlineLevel="0" collapsed="false">
      <c r="A8" s="10" t="s">
        <v>530</v>
      </c>
      <c r="B8" s="10" t="s">
        <v>531</v>
      </c>
      <c r="C8" s="10" t="s">
        <v>388</v>
      </c>
      <c r="D8" s="10" t="s">
        <v>532</v>
      </c>
    </row>
    <row r="9" customFormat="false" ht="45.75" hidden="false" customHeight="true" outlineLevel="0" collapsed="false">
      <c r="A9" s="10" t="s">
        <v>533</v>
      </c>
      <c r="B9" s="10" t="s">
        <v>534</v>
      </c>
      <c r="C9" s="10" t="s">
        <v>390</v>
      </c>
      <c r="D9" s="10" t="s">
        <v>535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18"/>
  </cols>
  <sheetData>
    <row r="1" customFormat="false" ht="15" hidden="false" customHeight="true" outlineLevel="0" collapsed="false">
      <c r="A1" s="2" t="s">
        <v>443</v>
      </c>
      <c r="B1" s="2" t="s">
        <v>536</v>
      </c>
      <c r="C1" s="2" t="s">
        <v>537</v>
      </c>
      <c r="D1" s="2" t="s">
        <v>538</v>
      </c>
      <c r="E1" s="2" t="s">
        <v>539</v>
      </c>
      <c r="F1" s="2" t="s">
        <v>540</v>
      </c>
      <c r="G1" s="2" t="s">
        <v>541</v>
      </c>
      <c r="H1" s="2" t="s">
        <v>542</v>
      </c>
      <c r="I1" s="2" t="s">
        <v>446</v>
      </c>
    </row>
    <row r="2" customFormat="false" ht="15" hidden="false" customHeight="true" outlineLevel="0" collapsed="false">
      <c r="A2" s="11" t="s">
        <v>543</v>
      </c>
      <c r="B2" s="11" t="s">
        <v>544</v>
      </c>
      <c r="C2" s="11" t="s">
        <v>545</v>
      </c>
      <c r="D2" s="11" t="s">
        <v>213</v>
      </c>
      <c r="E2" s="11" t="s">
        <v>546</v>
      </c>
      <c r="F2" s="11" t="s">
        <v>547</v>
      </c>
      <c r="G2" s="11" t="s">
        <v>548</v>
      </c>
      <c r="H2" s="11" t="s">
        <v>549</v>
      </c>
      <c r="I2" s="11" t="s">
        <v>550</v>
      </c>
    </row>
    <row r="3" customFormat="false" ht="15" hidden="false" customHeight="true" outlineLevel="0" collapsed="false">
      <c r="A3" s="11" t="s">
        <v>551</v>
      </c>
      <c r="B3" s="11" t="s">
        <v>552</v>
      </c>
      <c r="C3" s="11" t="s">
        <v>553</v>
      </c>
      <c r="D3" s="11" t="s">
        <v>53</v>
      </c>
      <c r="E3" s="11" t="s">
        <v>554</v>
      </c>
      <c r="F3" s="11" t="s">
        <v>555</v>
      </c>
      <c r="G3" s="11" t="s">
        <v>548</v>
      </c>
      <c r="H3" s="11" t="s">
        <v>549</v>
      </c>
      <c r="I3" s="11" t="s">
        <v>556</v>
      </c>
    </row>
    <row r="4" customFormat="false" ht="15" hidden="false" customHeight="true" outlineLevel="0" collapsed="false">
      <c r="A4" s="11" t="s">
        <v>557</v>
      </c>
      <c r="B4" s="11" t="s">
        <v>558</v>
      </c>
      <c r="C4" s="11" t="s">
        <v>559</v>
      </c>
      <c r="D4" s="11" t="s">
        <v>223</v>
      </c>
      <c r="E4" s="11" t="s">
        <v>560</v>
      </c>
      <c r="F4" s="11" t="s">
        <v>561</v>
      </c>
      <c r="G4" s="11" t="s">
        <v>562</v>
      </c>
      <c r="H4" s="11" t="s">
        <v>222</v>
      </c>
      <c r="I4" s="11" t="s">
        <v>563</v>
      </c>
    </row>
    <row r="5" customFormat="false" ht="15" hidden="false" customHeight="true" outlineLevel="0" collapsed="false">
      <c r="A5" s="11" t="s">
        <v>564</v>
      </c>
      <c r="B5" s="11" t="s">
        <v>81</v>
      </c>
      <c r="C5" s="11" t="s">
        <v>565</v>
      </c>
      <c r="D5" s="11" t="s">
        <v>82</v>
      </c>
      <c r="E5" s="11" t="s">
        <v>566</v>
      </c>
      <c r="F5" s="11" t="s">
        <v>567</v>
      </c>
      <c r="G5" s="11" t="s">
        <v>548</v>
      </c>
      <c r="H5" s="11" t="s">
        <v>549</v>
      </c>
      <c r="I5" s="11" t="s">
        <v>568</v>
      </c>
    </row>
    <row r="6" customFormat="false" ht="15" hidden="false" customHeight="true" outlineLevel="0" collapsed="false">
      <c r="A6" s="11" t="s">
        <v>569</v>
      </c>
      <c r="B6" s="11" t="s">
        <v>64</v>
      </c>
      <c r="C6" s="11" t="s">
        <v>570</v>
      </c>
      <c r="D6" s="11" t="s">
        <v>65</v>
      </c>
      <c r="E6" s="11" t="s">
        <v>571</v>
      </c>
      <c r="F6" s="11" t="s">
        <v>572</v>
      </c>
      <c r="G6" s="11" t="s">
        <v>548</v>
      </c>
      <c r="H6" s="11" t="s">
        <v>185</v>
      </c>
      <c r="I6" s="11" t="s">
        <v>573</v>
      </c>
    </row>
    <row r="7" customFormat="false" ht="15" hidden="false" customHeight="true" outlineLevel="0" collapsed="false">
      <c r="A7" s="11" t="s">
        <v>574</v>
      </c>
      <c r="B7" s="11" t="s">
        <v>575</v>
      </c>
      <c r="C7" s="11" t="s">
        <v>576</v>
      </c>
      <c r="D7" s="11" t="s">
        <v>577</v>
      </c>
      <c r="E7" s="11" t="s">
        <v>578</v>
      </c>
      <c r="F7" s="11" t="s">
        <v>579</v>
      </c>
      <c r="G7" s="11" t="s">
        <v>548</v>
      </c>
      <c r="H7" s="11" t="s">
        <v>549</v>
      </c>
      <c r="I7" s="11" t="s">
        <v>580</v>
      </c>
    </row>
    <row r="8" customFormat="false" ht="15" hidden="false" customHeight="true" outlineLevel="0" collapsed="false">
      <c r="A8" s="11" t="s">
        <v>581</v>
      </c>
      <c r="B8" s="11" t="s">
        <v>111</v>
      </c>
      <c r="C8" s="11" t="s">
        <v>582</v>
      </c>
      <c r="D8" s="11" t="s">
        <v>112</v>
      </c>
      <c r="E8" s="11" t="s">
        <v>583</v>
      </c>
      <c r="F8" s="11" t="s">
        <v>584</v>
      </c>
      <c r="G8" s="11" t="s">
        <v>548</v>
      </c>
      <c r="H8" s="11" t="s">
        <v>185</v>
      </c>
      <c r="I8" s="11" t="s">
        <v>585</v>
      </c>
    </row>
    <row r="9" customFormat="false" ht="15" hidden="false" customHeight="true" outlineLevel="0" collapsed="false">
      <c r="A9" s="11" t="s">
        <v>586</v>
      </c>
      <c r="B9" s="11" t="s">
        <v>198</v>
      </c>
      <c r="C9" s="11" t="s">
        <v>587</v>
      </c>
      <c r="D9" s="11" t="s">
        <v>199</v>
      </c>
      <c r="E9" s="11" t="s">
        <v>588</v>
      </c>
      <c r="F9" s="11" t="s">
        <v>567</v>
      </c>
      <c r="G9" s="11" t="s">
        <v>548</v>
      </c>
      <c r="H9" s="11" t="s">
        <v>549</v>
      </c>
      <c r="I9" s="11" t="s">
        <v>589</v>
      </c>
    </row>
    <row r="10" customFormat="false" ht="15" hidden="false" customHeight="true" outlineLevel="0" collapsed="false">
      <c r="A10" s="11" t="s">
        <v>590</v>
      </c>
      <c r="B10" s="11" t="s">
        <v>591</v>
      </c>
      <c r="C10" s="11" t="s">
        <v>592</v>
      </c>
      <c r="D10" s="11" t="s">
        <v>175</v>
      </c>
      <c r="E10" s="11" t="s">
        <v>593</v>
      </c>
      <c r="F10" s="11" t="s">
        <v>584</v>
      </c>
      <c r="G10" s="11" t="s">
        <v>548</v>
      </c>
      <c r="H10" s="11" t="s">
        <v>549</v>
      </c>
      <c r="I10" s="11" t="s">
        <v>594</v>
      </c>
    </row>
    <row r="11" customFormat="false" ht="15" hidden="false" customHeight="true" outlineLevel="0" collapsed="false">
      <c r="A11" s="11" t="s">
        <v>595</v>
      </c>
      <c r="B11" s="11" t="s">
        <v>242</v>
      </c>
      <c r="C11" s="11" t="s">
        <v>596</v>
      </c>
      <c r="D11" s="11" t="s">
        <v>246</v>
      </c>
      <c r="E11" s="11" t="s">
        <v>597</v>
      </c>
      <c r="F11" s="11" t="s">
        <v>561</v>
      </c>
      <c r="G11" s="11" t="s">
        <v>562</v>
      </c>
      <c r="H11" s="11" t="s">
        <v>245</v>
      </c>
      <c r="I11" s="11" t="s">
        <v>598</v>
      </c>
    </row>
    <row r="12" customFormat="false" ht="15" hidden="false" customHeight="true" outlineLevel="0" collapsed="false">
      <c r="A12" s="1" t="s">
        <v>599</v>
      </c>
      <c r="B12" s="1" t="s">
        <v>600</v>
      </c>
      <c r="C12" s="1" t="s">
        <v>601</v>
      </c>
      <c r="D12" s="1" t="s">
        <v>602</v>
      </c>
      <c r="E12" s="1" t="s">
        <v>603</v>
      </c>
      <c r="F12" s="1" t="s">
        <v>604</v>
      </c>
      <c r="G12" s="1" t="s">
        <v>548</v>
      </c>
      <c r="H12" s="1" t="s">
        <v>605</v>
      </c>
      <c r="I12" s="1" t="s">
        <v>606</v>
      </c>
    </row>
    <row r="13" customFormat="false" ht="15" hidden="false" customHeight="true" outlineLevel="0" collapsed="false">
      <c r="A13" s="1" t="s">
        <v>607</v>
      </c>
      <c r="B13" s="1" t="s">
        <v>608</v>
      </c>
      <c r="C13" s="1" t="s">
        <v>609</v>
      </c>
      <c r="D13" s="1" t="s">
        <v>25</v>
      </c>
      <c r="E13" s="1" t="s">
        <v>603</v>
      </c>
      <c r="F13" s="1" t="s">
        <v>567</v>
      </c>
      <c r="G13" s="1" t="s">
        <v>548</v>
      </c>
      <c r="H13" s="1" t="s">
        <v>549</v>
      </c>
      <c r="I13" s="1" t="s">
        <v>610</v>
      </c>
    </row>
    <row r="14" customFormat="false" ht="15" hidden="false" customHeight="true" outlineLevel="0" collapsed="false">
      <c r="A14" s="1" t="s">
        <v>611</v>
      </c>
      <c r="B14" s="1" t="s">
        <v>612</v>
      </c>
      <c r="C14" s="1" t="s">
        <v>613</v>
      </c>
      <c r="D14" s="1" t="s">
        <v>614</v>
      </c>
      <c r="E14" s="1" t="s">
        <v>603</v>
      </c>
      <c r="F14" s="1" t="s">
        <v>604</v>
      </c>
      <c r="G14" s="1" t="s">
        <v>548</v>
      </c>
      <c r="H14" s="1" t="s">
        <v>249</v>
      </c>
      <c r="I14" s="1" t="s">
        <v>615</v>
      </c>
    </row>
    <row r="15" customFormat="false" ht="15" hidden="false" customHeight="true" outlineLevel="0" collapsed="false">
      <c r="A15" s="1" t="s">
        <v>616</v>
      </c>
      <c r="B15" s="1" t="s">
        <v>617</v>
      </c>
      <c r="C15" s="1" t="s">
        <v>618</v>
      </c>
      <c r="D15" s="1" t="s">
        <v>619</v>
      </c>
      <c r="E15" s="1" t="s">
        <v>603</v>
      </c>
      <c r="F15" s="1" t="s">
        <v>604</v>
      </c>
      <c r="G15" s="1" t="s">
        <v>548</v>
      </c>
      <c r="H15" s="1" t="s">
        <v>620</v>
      </c>
      <c r="I15" s="1" t="s">
        <v>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8"/>
  </cols>
  <sheetData>
    <row r="1" customFormat="false" ht="23.25" hidden="false" customHeight="true" outlineLevel="0" collapsed="false">
      <c r="A1" s="2" t="s">
        <v>418</v>
      </c>
      <c r="B1" s="2" t="s">
        <v>422</v>
      </c>
      <c r="C1" s="2" t="s">
        <v>5</v>
      </c>
      <c r="D1" s="2" t="s">
        <v>11</v>
      </c>
      <c r="E1" s="2" t="s">
        <v>430</v>
      </c>
      <c r="F1" s="2" t="s">
        <v>434</v>
      </c>
      <c r="G1" s="2" t="s">
        <v>438</v>
      </c>
      <c r="H1" s="2" t="s">
        <v>12</v>
      </c>
      <c r="I1" s="2" t="s">
        <v>443</v>
      </c>
      <c r="J1" s="2" t="s">
        <v>446</v>
      </c>
    </row>
    <row r="2" customFormat="false" ht="15" hidden="false" customHeight="true" outlineLevel="0" collapsed="false">
      <c r="A2" s="11" t="s">
        <v>222</v>
      </c>
      <c r="B2" s="11" t="s">
        <v>622</v>
      </c>
      <c r="C2" s="11" t="s">
        <v>623</v>
      </c>
      <c r="D2" s="11" t="n">
        <v>2024</v>
      </c>
      <c r="E2" s="12" t="n">
        <v>2720</v>
      </c>
      <c r="F2" s="13" t="n">
        <v>22800</v>
      </c>
      <c r="G2" s="11" t="s">
        <v>624</v>
      </c>
      <c r="H2" s="11" t="s">
        <v>23</v>
      </c>
      <c r="I2" s="11" t="s">
        <v>557</v>
      </c>
      <c r="J2" s="11" t="s">
        <v>625</v>
      </c>
    </row>
    <row r="3" customFormat="false" ht="15" hidden="false" customHeight="true" outlineLevel="0" collapsed="false">
      <c r="A3" s="11" t="s">
        <v>222</v>
      </c>
      <c r="B3" s="11" t="s">
        <v>626</v>
      </c>
      <c r="C3" s="11" t="s">
        <v>623</v>
      </c>
      <c r="D3" s="11" t="n">
        <v>2024</v>
      </c>
      <c r="E3" s="12" t="n">
        <v>1500</v>
      </c>
      <c r="F3" s="13" t="n">
        <v>63800</v>
      </c>
      <c r="G3" s="11" t="s">
        <v>624</v>
      </c>
      <c r="H3" s="11" t="s">
        <v>23</v>
      </c>
      <c r="I3" s="11" t="s">
        <v>557</v>
      </c>
      <c r="J3" s="11" t="s">
        <v>627</v>
      </c>
    </row>
    <row r="4" customFormat="false" ht="15" hidden="false" customHeight="true" outlineLevel="0" collapsed="false">
      <c r="A4" s="11" t="s">
        <v>222</v>
      </c>
      <c r="B4" s="11" t="s">
        <v>628</v>
      </c>
      <c r="C4" s="11" t="s">
        <v>623</v>
      </c>
      <c r="D4" s="11" t="n">
        <v>2025</v>
      </c>
      <c r="E4" s="12" t="n">
        <v>100</v>
      </c>
      <c r="F4" s="13" t="n">
        <v>150000</v>
      </c>
      <c r="G4" s="11" t="s">
        <v>629</v>
      </c>
      <c r="H4" s="11" t="s">
        <v>37</v>
      </c>
      <c r="I4" s="11" t="s">
        <v>557</v>
      </c>
      <c r="J4" s="11" t="s">
        <v>630</v>
      </c>
    </row>
    <row r="5" customFormat="false" ht="15" hidden="false" customHeight="true" outlineLevel="0" collapsed="false">
      <c r="A5" s="11" t="s">
        <v>222</v>
      </c>
      <c r="B5" s="11" t="s">
        <v>628</v>
      </c>
      <c r="C5" s="11" t="s">
        <v>631</v>
      </c>
      <c r="D5" s="11" t="n">
        <v>2026</v>
      </c>
      <c r="E5" s="12" t="n">
        <v>500</v>
      </c>
      <c r="F5" s="13" t="n">
        <v>50000</v>
      </c>
      <c r="G5" s="11" t="s">
        <v>629</v>
      </c>
      <c r="H5" s="11" t="s">
        <v>37</v>
      </c>
      <c r="I5" s="11" t="s">
        <v>557</v>
      </c>
      <c r="J5" s="11" t="s">
        <v>632</v>
      </c>
    </row>
    <row r="6" customFormat="false" ht="15" hidden="false" customHeight="true" outlineLevel="0" collapsed="false">
      <c r="A6" s="11" t="s">
        <v>222</v>
      </c>
      <c r="B6" s="11" t="s">
        <v>628</v>
      </c>
      <c r="C6" s="11" t="s">
        <v>633</v>
      </c>
      <c r="D6" s="11" t="n">
        <v>2028</v>
      </c>
      <c r="E6" s="12" t="n">
        <v>1000</v>
      </c>
      <c r="F6" s="13" t="n">
        <v>100000</v>
      </c>
      <c r="G6" s="11" t="s">
        <v>629</v>
      </c>
      <c r="H6" s="11" t="s">
        <v>57</v>
      </c>
      <c r="I6" s="11" t="s">
        <v>557</v>
      </c>
      <c r="J6" s="11" t="s">
        <v>634</v>
      </c>
    </row>
    <row r="7" customFormat="false" ht="15" hidden="false" customHeight="true" outlineLevel="0" collapsed="false">
      <c r="A7" s="11" t="s">
        <v>549</v>
      </c>
      <c r="B7" s="11" t="s">
        <v>635</v>
      </c>
      <c r="C7" s="11" t="s">
        <v>636</v>
      </c>
      <c r="D7" s="11" t="n">
        <v>2024</v>
      </c>
      <c r="E7" s="12" t="n">
        <v>68000</v>
      </c>
      <c r="F7" s="13" t="n">
        <v>27000</v>
      </c>
      <c r="G7" s="11" t="s">
        <v>637</v>
      </c>
      <c r="H7" s="11" t="s">
        <v>23</v>
      </c>
      <c r="I7" s="11" t="s">
        <v>543</v>
      </c>
      <c r="J7" s="11" t="s">
        <v>638</v>
      </c>
    </row>
    <row r="8" customFormat="false" ht="15" hidden="false" customHeight="true" outlineLevel="0" collapsed="false">
      <c r="A8" s="11" t="s">
        <v>549</v>
      </c>
      <c r="B8" s="11" t="s">
        <v>639</v>
      </c>
      <c r="C8" s="11" t="s">
        <v>640</v>
      </c>
      <c r="D8" s="11" t="n">
        <v>2030</v>
      </c>
      <c r="E8" s="12" t="n">
        <v>50000</v>
      </c>
      <c r="F8" s="13" t="n">
        <v>46000</v>
      </c>
      <c r="G8" s="11" t="s">
        <v>637</v>
      </c>
      <c r="H8" s="11" t="s">
        <v>37</v>
      </c>
      <c r="I8" s="11" t="s">
        <v>543</v>
      </c>
      <c r="J8" s="11" t="s">
        <v>641</v>
      </c>
    </row>
    <row r="9" customFormat="false" ht="15" hidden="false" customHeight="true" outlineLevel="0" collapsed="false">
      <c r="A9" s="11" t="s">
        <v>253</v>
      </c>
      <c r="B9" s="11" t="s">
        <v>642</v>
      </c>
      <c r="C9" s="11" t="s">
        <v>623</v>
      </c>
      <c r="D9" s="11" t="n">
        <v>2024</v>
      </c>
      <c r="E9" s="12" t="n">
        <v>9000</v>
      </c>
      <c r="F9" s="13" t="n">
        <v>27200</v>
      </c>
      <c r="G9" s="11" t="s">
        <v>637</v>
      </c>
      <c r="H9" s="11" t="s">
        <v>244</v>
      </c>
      <c r="I9" s="11" t="s">
        <v>595</v>
      </c>
      <c r="J9" s="11" t="s">
        <v>643</v>
      </c>
    </row>
    <row r="10" customFormat="false" ht="15" hidden="false" customHeight="true" outlineLevel="0" collapsed="false">
      <c r="A10" s="11" t="s">
        <v>245</v>
      </c>
      <c r="B10" s="11" t="s">
        <v>644</v>
      </c>
      <c r="C10" s="11" t="s">
        <v>623</v>
      </c>
      <c r="D10" s="11" t="n">
        <v>2024</v>
      </c>
      <c r="E10" s="12" t="n">
        <v>5400</v>
      </c>
      <c r="F10" s="13" t="n">
        <v>21600</v>
      </c>
      <c r="G10" s="11" t="s">
        <v>637</v>
      </c>
      <c r="H10" s="11" t="s">
        <v>244</v>
      </c>
      <c r="I10" s="11" t="s">
        <v>595</v>
      </c>
      <c r="J10" s="11" t="s">
        <v>645</v>
      </c>
    </row>
    <row r="11" customFormat="false" ht="15" hidden="false" customHeight="true" outlineLevel="0" collapsed="false">
      <c r="A11" s="11" t="s">
        <v>249</v>
      </c>
      <c r="B11" s="11" t="s">
        <v>646</v>
      </c>
      <c r="C11" s="11" t="s">
        <v>623</v>
      </c>
      <c r="D11" s="11" t="n">
        <v>2024</v>
      </c>
      <c r="E11" s="12" t="n">
        <v>4500</v>
      </c>
      <c r="F11" s="13" t="n">
        <v>6500</v>
      </c>
      <c r="G11" s="11" t="s">
        <v>637</v>
      </c>
      <c r="H11" s="11" t="s">
        <v>23</v>
      </c>
      <c r="I11" s="11" t="s">
        <v>595</v>
      </c>
      <c r="J11" s="11" t="s">
        <v>647</v>
      </c>
    </row>
    <row r="12" customFormat="false" ht="15" hidden="false" customHeight="true" outlineLevel="0" collapsed="false">
      <c r="A12" s="11" t="s">
        <v>648</v>
      </c>
      <c r="B12" s="11" t="s">
        <v>649</v>
      </c>
      <c r="C12" s="11" t="s">
        <v>623</v>
      </c>
      <c r="D12" s="11" t="n">
        <v>2024</v>
      </c>
      <c r="E12" s="12" t="n">
        <v>4600</v>
      </c>
      <c r="F12" s="13" t="n">
        <v>23000</v>
      </c>
      <c r="G12" s="11" t="s">
        <v>637</v>
      </c>
      <c r="H12" s="11" t="s">
        <v>23</v>
      </c>
      <c r="I12" s="11" t="s">
        <v>595</v>
      </c>
      <c r="J12" s="11" t="s">
        <v>650</v>
      </c>
    </row>
    <row r="13" customFormat="false" ht="15" hidden="false" customHeight="true" outlineLevel="0" collapsed="false">
      <c r="A13" s="11" t="s">
        <v>651</v>
      </c>
      <c r="B13" s="11" t="s">
        <v>652</v>
      </c>
      <c r="C13" s="11" t="s">
        <v>623</v>
      </c>
      <c r="D13" s="11" t="n">
        <v>2025</v>
      </c>
      <c r="E13" s="12" t="n">
        <v>3500</v>
      </c>
      <c r="F13" s="13" t="n">
        <v>45000</v>
      </c>
      <c r="G13" s="11" t="s">
        <v>624</v>
      </c>
      <c r="H13" s="11" t="s">
        <v>37</v>
      </c>
      <c r="I13" s="11" t="s">
        <v>595</v>
      </c>
      <c r="J13" s="11" t="s">
        <v>653</v>
      </c>
    </row>
    <row r="14" customFormat="false" ht="15" hidden="false" customHeight="true" outlineLevel="0" collapsed="false">
      <c r="A14" s="11" t="s">
        <v>654</v>
      </c>
      <c r="B14" s="11" t="s">
        <v>655</v>
      </c>
      <c r="C14" s="11" t="s">
        <v>623</v>
      </c>
      <c r="D14" s="11" t="n">
        <v>2025</v>
      </c>
      <c r="E14" s="12" t="n">
        <v>5000</v>
      </c>
      <c r="F14" s="13" t="n">
        <v>13000</v>
      </c>
      <c r="G14" s="11" t="s">
        <v>624</v>
      </c>
      <c r="H14" s="11" t="s">
        <v>37</v>
      </c>
      <c r="I14" s="11" t="s">
        <v>595</v>
      </c>
      <c r="J14" s="11" t="s">
        <v>656</v>
      </c>
    </row>
    <row r="15" customFormat="false" ht="15" hidden="false" customHeight="true" outlineLevel="0" collapsed="false">
      <c r="A15" s="11" t="s">
        <v>657</v>
      </c>
      <c r="B15" s="11" t="s">
        <v>658</v>
      </c>
      <c r="C15" s="11" t="s">
        <v>623</v>
      </c>
      <c r="D15" s="11" t="n">
        <v>2024</v>
      </c>
      <c r="E15" s="12" t="n">
        <v>5000</v>
      </c>
      <c r="F15" s="13" t="n">
        <v>25000</v>
      </c>
      <c r="G15" s="11" t="s">
        <v>637</v>
      </c>
      <c r="H15" s="11" t="s">
        <v>23</v>
      </c>
      <c r="I15" s="11" t="s">
        <v>595</v>
      </c>
      <c r="J15" s="11" t="s">
        <v>659</v>
      </c>
    </row>
    <row r="16" customFormat="false" ht="15" hidden="false" customHeight="true" outlineLevel="0" collapsed="false">
      <c r="A16" s="11" t="s">
        <v>657</v>
      </c>
      <c r="B16" s="11" t="s">
        <v>660</v>
      </c>
      <c r="C16" s="11" t="s">
        <v>623</v>
      </c>
      <c r="D16" s="11" t="n">
        <v>2030</v>
      </c>
      <c r="E16" s="12" t="n">
        <v>2000</v>
      </c>
      <c r="F16" s="13" t="n">
        <v>150000</v>
      </c>
      <c r="G16" s="11" t="s">
        <v>624</v>
      </c>
      <c r="H16" s="11" t="s">
        <v>37</v>
      </c>
      <c r="I16" s="11" t="s">
        <v>595</v>
      </c>
      <c r="J16" s="11" t="s">
        <v>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1" min="1" style="1" width="18"/>
  </cols>
  <sheetData>
    <row r="1" customFormat="false" ht="23.25" hidden="false" customHeight="true" outlineLevel="0" collapsed="false">
      <c r="A1" s="2" t="s">
        <v>448</v>
      </c>
      <c r="B1" s="2" t="s">
        <v>450</v>
      </c>
      <c r="C1" s="2" t="s">
        <v>5</v>
      </c>
      <c r="D1" s="2" t="s">
        <v>11</v>
      </c>
      <c r="E1" s="2" t="s">
        <v>456</v>
      </c>
      <c r="F1" s="2" t="s">
        <v>458</v>
      </c>
      <c r="G1" s="2" t="s">
        <v>461</v>
      </c>
      <c r="H1" s="2" t="s">
        <v>464</v>
      </c>
      <c r="I1" s="2" t="s">
        <v>12</v>
      </c>
      <c r="J1" s="2" t="s">
        <v>443</v>
      </c>
      <c r="K1" s="2" t="s">
        <v>446</v>
      </c>
    </row>
    <row r="2" customFormat="false" ht="15" hidden="false" customHeight="true" outlineLevel="0" collapsed="false">
      <c r="A2" s="11" t="s">
        <v>662</v>
      </c>
      <c r="B2" s="11" t="s">
        <v>549</v>
      </c>
      <c r="C2" s="11" t="s">
        <v>623</v>
      </c>
      <c r="D2" s="11" t="n">
        <v>2024</v>
      </c>
      <c r="E2" s="12" t="n">
        <v>3100000000</v>
      </c>
      <c r="F2" s="11" t="n">
        <v>7</v>
      </c>
      <c r="G2" s="14" t="n">
        <f aca="false">E2/F2</f>
        <v>442857142.857143</v>
      </c>
      <c r="H2" s="11" t="s">
        <v>663</v>
      </c>
      <c r="I2" s="11" t="s">
        <v>23</v>
      </c>
      <c r="J2" s="11" t="s">
        <v>543</v>
      </c>
      <c r="K2" s="11" t="s">
        <v>664</v>
      </c>
    </row>
    <row r="3" customFormat="false" ht="15" hidden="false" customHeight="true" outlineLevel="0" collapsed="false">
      <c r="A3" s="11" t="s">
        <v>662</v>
      </c>
      <c r="B3" s="11" t="s">
        <v>665</v>
      </c>
      <c r="C3" s="11" t="s">
        <v>623</v>
      </c>
      <c r="D3" s="11" t="n">
        <v>2024</v>
      </c>
      <c r="E3" s="12" t="n">
        <v>4000000000</v>
      </c>
      <c r="F3" s="11" t="n">
        <v>7</v>
      </c>
      <c r="G3" s="14" t="n">
        <f aca="false">E3/F3</f>
        <v>571428571.428572</v>
      </c>
      <c r="H3" s="11" t="s">
        <v>663</v>
      </c>
      <c r="I3" s="11" t="s">
        <v>23</v>
      </c>
      <c r="J3" s="11" t="s">
        <v>543</v>
      </c>
      <c r="K3" s="11" t="s">
        <v>666</v>
      </c>
    </row>
    <row r="4" customFormat="false" ht="15" hidden="false" customHeight="true" outlineLevel="0" collapsed="false">
      <c r="A4" s="11" t="s">
        <v>667</v>
      </c>
      <c r="B4" s="11" t="s">
        <v>657</v>
      </c>
      <c r="C4" s="11" t="s">
        <v>623</v>
      </c>
      <c r="D4" s="11" t="n">
        <v>2024</v>
      </c>
      <c r="E4" s="12" t="n">
        <v>800000000</v>
      </c>
      <c r="F4" s="11" t="n">
        <v>3</v>
      </c>
      <c r="G4" s="14" t="n">
        <f aca="false">E4/F4</f>
        <v>266666666.666667</v>
      </c>
      <c r="H4" s="11" t="s">
        <v>668</v>
      </c>
      <c r="I4" s="11" t="s">
        <v>57</v>
      </c>
      <c r="J4" s="11" t="s">
        <v>595</v>
      </c>
      <c r="K4" s="11" t="s">
        <v>669</v>
      </c>
    </row>
    <row r="5" customFormat="false" ht="15" hidden="false" customHeight="true" outlineLevel="0" collapsed="false">
      <c r="A5" s="11" t="s">
        <v>670</v>
      </c>
      <c r="B5" s="11" t="s">
        <v>549</v>
      </c>
      <c r="C5" s="11" t="s">
        <v>636</v>
      </c>
      <c r="D5" s="11" t="n">
        <v>2028</v>
      </c>
      <c r="E5" s="12" t="n">
        <v>1500000000</v>
      </c>
      <c r="F5" s="11" t="n">
        <v>4</v>
      </c>
      <c r="G5" s="14" t="n">
        <f aca="false">E5/F5</f>
        <v>375000000</v>
      </c>
      <c r="H5" s="11" t="s">
        <v>668</v>
      </c>
      <c r="I5" s="11" t="s">
        <v>37</v>
      </c>
      <c r="J5" s="11" t="s">
        <v>574</v>
      </c>
      <c r="K5" s="11" t="s">
        <v>671</v>
      </c>
    </row>
    <row r="6" customFormat="false" ht="15" hidden="false" customHeight="true" outlineLevel="0" collapsed="false">
      <c r="A6" s="11" t="s">
        <v>672</v>
      </c>
      <c r="B6" s="11" t="s">
        <v>549</v>
      </c>
      <c r="C6" s="11" t="s">
        <v>631</v>
      </c>
      <c r="D6" s="11" t="n">
        <v>2030</v>
      </c>
      <c r="E6" s="12" t="n">
        <v>5000000000</v>
      </c>
      <c r="F6" s="11" t="n">
        <v>4</v>
      </c>
      <c r="G6" s="14" t="n">
        <f aca="false">E6/F6</f>
        <v>1250000000</v>
      </c>
      <c r="H6" s="11" t="s">
        <v>663</v>
      </c>
      <c r="I6" s="11" t="s">
        <v>57</v>
      </c>
      <c r="J6" s="11" t="s">
        <v>543</v>
      </c>
      <c r="K6" s="11" t="s">
        <v>673</v>
      </c>
    </row>
    <row r="7" customFormat="false" ht="15" hidden="false" customHeight="true" outlineLevel="0" collapsed="false">
      <c r="A7" s="11" t="s">
        <v>674</v>
      </c>
      <c r="B7" s="11" t="s">
        <v>269</v>
      </c>
      <c r="C7" s="11" t="s">
        <v>623</v>
      </c>
      <c r="D7" s="11" t="n">
        <v>2028</v>
      </c>
      <c r="E7" s="12" t="n">
        <v>500000000</v>
      </c>
      <c r="F7" s="11" t="n">
        <v>10</v>
      </c>
      <c r="G7" s="14" t="n">
        <f aca="false">E7/F7</f>
        <v>50000000</v>
      </c>
      <c r="H7" s="11" t="s">
        <v>668</v>
      </c>
      <c r="I7" s="11" t="s">
        <v>37</v>
      </c>
      <c r="J7" s="11" t="s">
        <v>595</v>
      </c>
      <c r="K7" s="11" t="s">
        <v>675</v>
      </c>
    </row>
    <row r="8" customFormat="false" ht="15" hidden="false" customHeight="true" outlineLevel="0" collapsed="false">
      <c r="A8" s="11" t="s">
        <v>676</v>
      </c>
      <c r="B8" s="11" t="s">
        <v>677</v>
      </c>
      <c r="C8" s="11" t="s">
        <v>623</v>
      </c>
      <c r="D8" s="11" t="n">
        <v>2029</v>
      </c>
      <c r="E8" s="12" t="n">
        <v>400000000</v>
      </c>
      <c r="F8" s="11" t="n">
        <v>4</v>
      </c>
      <c r="G8" s="14" t="n">
        <f aca="false">E8/F8</f>
        <v>100000000</v>
      </c>
      <c r="H8" s="11" t="s">
        <v>668</v>
      </c>
      <c r="I8" s="11" t="s">
        <v>37</v>
      </c>
      <c r="J8" s="11" t="s">
        <v>595</v>
      </c>
      <c r="K8" s="11" t="s">
        <v>678</v>
      </c>
    </row>
    <row r="9" customFormat="false" ht="15" hidden="false" customHeight="true" outlineLevel="0" collapsed="false">
      <c r="A9" s="11" t="s">
        <v>679</v>
      </c>
      <c r="B9" s="11" t="s">
        <v>273</v>
      </c>
      <c r="C9" s="11" t="s">
        <v>623</v>
      </c>
      <c r="D9" s="11" t="n">
        <v>2027</v>
      </c>
      <c r="E9" s="12" t="n">
        <v>600000000</v>
      </c>
      <c r="F9" s="11" t="n">
        <v>8</v>
      </c>
      <c r="G9" s="14" t="n">
        <f aca="false">E9/F9</f>
        <v>75000000</v>
      </c>
      <c r="H9" s="11" t="s">
        <v>668</v>
      </c>
      <c r="I9" s="11" t="s">
        <v>37</v>
      </c>
      <c r="J9" s="11" t="s">
        <v>595</v>
      </c>
      <c r="K9" s="11" t="s">
        <v>680</v>
      </c>
    </row>
    <row r="10" customFormat="false" ht="15" hidden="false" customHeight="true" outlineLevel="0" collapsed="false">
      <c r="A10" s="11" t="s">
        <v>681</v>
      </c>
      <c r="B10" s="11" t="s">
        <v>549</v>
      </c>
      <c r="C10" s="11" t="s">
        <v>633</v>
      </c>
      <c r="D10" s="11" t="n">
        <v>2040</v>
      </c>
      <c r="E10" s="12" t="n">
        <v>10000000000</v>
      </c>
      <c r="F10" s="11" t="n">
        <v>6</v>
      </c>
      <c r="G10" s="14" t="n">
        <f aca="false">E10/F10</f>
        <v>1666666666.66667</v>
      </c>
      <c r="H10" s="11" t="s">
        <v>663</v>
      </c>
      <c r="I10" s="11" t="s">
        <v>57</v>
      </c>
      <c r="J10" s="11" t="s">
        <v>543</v>
      </c>
      <c r="K10" s="11" t="s">
        <v>682</v>
      </c>
    </row>
    <row r="11" customFormat="false" ht="15" hidden="false" customHeight="true" outlineLevel="0" collapsed="false">
      <c r="A11" s="11" t="s">
        <v>683</v>
      </c>
      <c r="B11" s="11" t="s">
        <v>684</v>
      </c>
      <c r="C11" s="11" t="s">
        <v>623</v>
      </c>
      <c r="D11" s="11" t="n">
        <v>2027</v>
      </c>
      <c r="E11" s="12" t="n">
        <v>300000000</v>
      </c>
      <c r="F11" s="11" t="n">
        <v>4</v>
      </c>
      <c r="G11" s="14" t="n">
        <f aca="false">E11/F11</f>
        <v>75000000</v>
      </c>
      <c r="H11" s="11" t="s">
        <v>668</v>
      </c>
      <c r="I11" s="11" t="s">
        <v>37</v>
      </c>
      <c r="J11" s="11" t="s">
        <v>595</v>
      </c>
      <c r="K11" s="11" t="s">
        <v>685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2" min="1" style="1" width="18"/>
  </cols>
  <sheetData>
    <row r="1" customFormat="false" ht="23.25" hidden="false" customHeight="true" outlineLevel="0" collapsed="false">
      <c r="A1" s="2" t="s">
        <v>470</v>
      </c>
      <c r="B1" s="2" t="s">
        <v>418</v>
      </c>
      <c r="C1" s="2" t="s">
        <v>473</v>
      </c>
      <c r="D1" s="2" t="s">
        <v>476</v>
      </c>
      <c r="E1" s="2" t="s">
        <v>478</v>
      </c>
      <c r="F1" s="2" t="s">
        <v>481</v>
      </c>
      <c r="G1" s="2" t="s">
        <v>483</v>
      </c>
      <c r="H1" s="2" t="s">
        <v>486</v>
      </c>
      <c r="I1" s="2" t="s">
        <v>488</v>
      </c>
      <c r="J1" s="2" t="s">
        <v>491</v>
      </c>
      <c r="K1" s="2" t="s">
        <v>443</v>
      </c>
      <c r="L1" s="2" t="s">
        <v>446</v>
      </c>
    </row>
    <row r="2" customFormat="false" ht="15" hidden="false" customHeight="true" outlineLevel="0" collapsed="false">
      <c r="A2" s="11" t="s">
        <v>686</v>
      </c>
      <c r="B2" s="11" t="s">
        <v>687</v>
      </c>
      <c r="C2" s="11" t="s">
        <v>688</v>
      </c>
      <c r="D2" s="11" t="n">
        <v>9900</v>
      </c>
      <c r="E2" s="11" t="n">
        <v>93</v>
      </c>
      <c r="F2" s="11" t="n">
        <v>42</v>
      </c>
      <c r="G2" s="11" t="n">
        <v>31.5</v>
      </c>
      <c r="H2" s="11" t="n">
        <v>7</v>
      </c>
      <c r="I2" s="15" t="n">
        <f aca="false">D2/H2</f>
        <v>1414.28571428571</v>
      </c>
      <c r="J2" s="11" t="n">
        <v>9</v>
      </c>
      <c r="K2" s="11" t="s">
        <v>564</v>
      </c>
      <c r="L2" s="11" t="s">
        <v>689</v>
      </c>
    </row>
    <row r="3" customFormat="false" ht="15" hidden="false" customHeight="true" outlineLevel="0" collapsed="false">
      <c r="A3" s="11" t="s">
        <v>690</v>
      </c>
      <c r="B3" s="11" t="s">
        <v>549</v>
      </c>
      <c r="C3" s="11" t="s">
        <v>688</v>
      </c>
      <c r="D3" s="11" t="n">
        <v>10500</v>
      </c>
      <c r="E3" s="11" t="n">
        <v>98</v>
      </c>
      <c r="F3" s="11" t="n">
        <v>75</v>
      </c>
      <c r="G3" s="11" t="n">
        <v>33</v>
      </c>
      <c r="H3" s="11" t="n">
        <v>7</v>
      </c>
      <c r="I3" s="15" t="n">
        <f aca="false">D3/H3</f>
        <v>1500</v>
      </c>
      <c r="J3" s="11" t="n">
        <v>7</v>
      </c>
      <c r="K3" s="11" t="s">
        <v>564</v>
      </c>
      <c r="L3" s="11" t="s">
        <v>691</v>
      </c>
    </row>
    <row r="4" customFormat="false" ht="15" hidden="false" customHeight="true" outlineLevel="0" collapsed="false">
      <c r="A4" s="11" t="s">
        <v>692</v>
      </c>
      <c r="B4" s="11" t="s">
        <v>693</v>
      </c>
      <c r="C4" s="11" t="s">
        <v>688</v>
      </c>
      <c r="D4" s="11" t="n">
        <v>2500</v>
      </c>
      <c r="E4" s="11" t="n">
        <v>90</v>
      </c>
      <c r="F4" s="11" t="n">
        <v>0</v>
      </c>
      <c r="G4" s="11" t="n">
        <v>8</v>
      </c>
      <c r="H4" s="11" t="n">
        <v>4</v>
      </c>
      <c r="I4" s="15" t="n">
        <f aca="false">D4/H4</f>
        <v>625</v>
      </c>
      <c r="J4" s="11" t="n">
        <v>5</v>
      </c>
      <c r="K4" s="11" t="s">
        <v>574</v>
      </c>
      <c r="L4" s="11" t="s">
        <v>694</v>
      </c>
    </row>
    <row r="5" customFormat="false" ht="15" hidden="false" customHeight="true" outlineLevel="0" collapsed="false">
      <c r="A5" s="11" t="s">
        <v>695</v>
      </c>
      <c r="B5" s="11" t="s">
        <v>549</v>
      </c>
      <c r="C5" s="11" t="s">
        <v>696</v>
      </c>
      <c r="D5" s="11" t="n">
        <v>15000</v>
      </c>
      <c r="E5" s="11" t="n">
        <v>98</v>
      </c>
      <c r="F5" s="11" t="n">
        <v>75</v>
      </c>
      <c r="G5" s="11" t="n">
        <v>45</v>
      </c>
      <c r="H5" s="11" t="n">
        <v>6</v>
      </c>
      <c r="I5" s="15" t="n">
        <f aca="false">D5/H5</f>
        <v>2500</v>
      </c>
      <c r="J5" s="11" t="n">
        <v>4</v>
      </c>
      <c r="K5" s="11" t="s">
        <v>564</v>
      </c>
      <c r="L5" s="11" t="s">
        <v>697</v>
      </c>
    </row>
    <row r="6" customFormat="false" ht="15" hidden="false" customHeight="true" outlineLevel="0" collapsed="false">
      <c r="A6" s="11" t="s">
        <v>698</v>
      </c>
      <c r="B6" s="11" t="s">
        <v>245</v>
      </c>
      <c r="C6" s="11" t="s">
        <v>696</v>
      </c>
      <c r="D6" s="11" t="n">
        <v>8000</v>
      </c>
      <c r="E6" s="11" t="n">
        <v>95</v>
      </c>
      <c r="F6" s="11" t="n">
        <v>80</v>
      </c>
      <c r="G6" s="11" t="n">
        <v>25</v>
      </c>
      <c r="H6" s="11" t="n">
        <v>4</v>
      </c>
      <c r="I6" s="15" t="n">
        <f aca="false">D6/H6</f>
        <v>2000</v>
      </c>
      <c r="J6" s="11" t="n">
        <v>3</v>
      </c>
      <c r="K6" s="11" t="s">
        <v>595</v>
      </c>
      <c r="L6" s="11" t="s">
        <v>699</v>
      </c>
    </row>
    <row r="7" customFormat="false" ht="15" hidden="false" customHeight="true" outlineLevel="0" collapsed="false">
      <c r="A7" s="11" t="s">
        <v>700</v>
      </c>
      <c r="B7" s="11" t="s">
        <v>701</v>
      </c>
      <c r="C7" s="11" t="s">
        <v>702</v>
      </c>
      <c r="D7" s="11" t="n">
        <v>500</v>
      </c>
      <c r="E7" s="11" t="n">
        <v>0</v>
      </c>
      <c r="F7" s="11" t="n">
        <v>0</v>
      </c>
      <c r="G7" s="11" t="n">
        <v>2</v>
      </c>
      <c r="H7" s="11" t="n">
        <v>4</v>
      </c>
      <c r="I7" s="15" t="n">
        <f aca="false">D7/H7</f>
        <v>125</v>
      </c>
      <c r="J7" s="11" t="n">
        <v>9</v>
      </c>
      <c r="K7" s="11" t="s">
        <v>564</v>
      </c>
      <c r="L7" s="11" t="s">
        <v>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8"/>
  </cols>
  <sheetData>
    <row r="1" customFormat="false" ht="23.25" hidden="false" customHeight="true" outlineLevel="0" collapsed="false">
      <c r="A1" s="2" t="s">
        <v>453</v>
      </c>
      <c r="B1" s="2" t="s">
        <v>5</v>
      </c>
      <c r="C1" s="2" t="s">
        <v>496</v>
      </c>
      <c r="D1" s="2" t="s">
        <v>498</v>
      </c>
      <c r="E1" s="2" t="s">
        <v>500</v>
      </c>
      <c r="F1" s="2" t="s">
        <v>502</v>
      </c>
      <c r="G1" s="2" t="s">
        <v>704</v>
      </c>
      <c r="H1" s="2" t="s">
        <v>705</v>
      </c>
      <c r="I1" s="2" t="s">
        <v>443</v>
      </c>
      <c r="J1" s="2" t="s">
        <v>446</v>
      </c>
    </row>
    <row r="2" customFormat="false" ht="15" hidden="false" customHeight="true" outlineLevel="0" collapsed="false">
      <c r="A2" s="11" t="s">
        <v>706</v>
      </c>
      <c r="B2" s="11" t="s">
        <v>623</v>
      </c>
      <c r="C2" s="11" t="n">
        <v>150</v>
      </c>
      <c r="D2" s="11" t="s">
        <v>707</v>
      </c>
      <c r="E2" s="11" t="n">
        <v>150</v>
      </c>
      <c r="F2" s="11" t="n">
        <v>600</v>
      </c>
      <c r="G2" s="16" t="n">
        <f aca="false">F2/C2</f>
        <v>4</v>
      </c>
      <c r="H2" s="16" t="n">
        <f aca="false">F2/E2</f>
        <v>4</v>
      </c>
      <c r="I2" s="11" t="s">
        <v>551</v>
      </c>
      <c r="J2" s="11" t="s">
        <v>708</v>
      </c>
    </row>
    <row r="3" customFormat="false" ht="15" hidden="false" customHeight="true" outlineLevel="0" collapsed="false">
      <c r="A3" s="11" t="s">
        <v>709</v>
      </c>
      <c r="B3" s="11" t="s">
        <v>631</v>
      </c>
      <c r="C3" s="11" t="n">
        <v>380</v>
      </c>
      <c r="D3" s="11" t="s">
        <v>710</v>
      </c>
      <c r="E3" s="11" t="n">
        <v>380</v>
      </c>
      <c r="F3" s="11" t="n">
        <v>600</v>
      </c>
      <c r="G3" s="16" t="n">
        <f aca="false">F3/C3</f>
        <v>1.57894736842105</v>
      </c>
      <c r="H3" s="16" t="n">
        <f aca="false">F3/E3</f>
        <v>1.57894736842105</v>
      </c>
      <c r="I3" s="11" t="s">
        <v>551</v>
      </c>
      <c r="J3" s="11" t="s">
        <v>711</v>
      </c>
    </row>
    <row r="4" customFormat="false" ht="15" hidden="false" customHeight="true" outlineLevel="0" collapsed="false">
      <c r="A4" s="11" t="s">
        <v>712</v>
      </c>
      <c r="B4" s="11" t="s">
        <v>631</v>
      </c>
      <c r="C4" s="11" t="n">
        <v>380</v>
      </c>
      <c r="D4" s="11" t="s">
        <v>713</v>
      </c>
      <c r="E4" s="11" t="n">
        <v>50</v>
      </c>
      <c r="F4" s="11" t="n">
        <v>600</v>
      </c>
      <c r="G4" s="16" t="n">
        <f aca="false">F4/C4</f>
        <v>1.57894736842105</v>
      </c>
      <c r="H4" s="16" t="n">
        <f aca="false">F4/E4</f>
        <v>12</v>
      </c>
      <c r="I4" s="11" t="s">
        <v>551</v>
      </c>
      <c r="J4" s="11" t="s">
        <v>714</v>
      </c>
    </row>
    <row r="5" customFormat="false" ht="15" hidden="false" customHeight="true" outlineLevel="0" collapsed="false">
      <c r="A5" s="11" t="s">
        <v>715</v>
      </c>
      <c r="B5" s="11" t="s">
        <v>631</v>
      </c>
      <c r="C5" s="11" t="n">
        <v>380</v>
      </c>
      <c r="D5" s="11" t="s">
        <v>60</v>
      </c>
      <c r="E5" s="11" t="n">
        <v>10</v>
      </c>
      <c r="F5" s="11" t="n">
        <v>600</v>
      </c>
      <c r="G5" s="16" t="n">
        <f aca="false">F5/C5</f>
        <v>1.57894736842105</v>
      </c>
      <c r="H5" s="16" t="n">
        <f aca="false">F5/E5</f>
        <v>60</v>
      </c>
      <c r="I5" s="11" t="s">
        <v>551</v>
      </c>
      <c r="J5" s="11" t="s">
        <v>716</v>
      </c>
    </row>
    <row r="6" customFormat="false" ht="15" hidden="false" customHeight="true" outlineLevel="0" collapsed="false">
      <c r="A6" s="11" t="s">
        <v>717</v>
      </c>
      <c r="B6" s="11" t="s">
        <v>633</v>
      </c>
      <c r="C6" s="11" t="n">
        <v>234</v>
      </c>
      <c r="D6" s="11" t="s">
        <v>710</v>
      </c>
      <c r="E6" s="11" t="n">
        <v>234</v>
      </c>
      <c r="F6" s="11" t="n">
        <v>600</v>
      </c>
      <c r="G6" s="16" t="n">
        <f aca="false">F6/C6</f>
        <v>2.56410256410256</v>
      </c>
      <c r="H6" s="16" t="n">
        <f aca="false">F6/E6</f>
        <v>2.56410256410256</v>
      </c>
      <c r="I6" s="11" t="s">
        <v>569</v>
      </c>
      <c r="J6" s="11" t="s">
        <v>718</v>
      </c>
    </row>
    <row r="7" customFormat="false" ht="15" hidden="false" customHeight="true" outlineLevel="0" collapsed="false">
      <c r="A7" s="11" t="s">
        <v>719</v>
      </c>
      <c r="B7" s="11" t="s">
        <v>633</v>
      </c>
      <c r="C7" s="11" t="n">
        <v>234</v>
      </c>
      <c r="D7" s="11" t="s">
        <v>720</v>
      </c>
      <c r="E7" s="11" t="n">
        <v>100</v>
      </c>
      <c r="F7" s="11" t="n">
        <v>600</v>
      </c>
      <c r="G7" s="16" t="n">
        <f aca="false">F7/C7</f>
        <v>2.56410256410256</v>
      </c>
      <c r="H7" s="16" t="n">
        <f aca="false">F7/E7</f>
        <v>6</v>
      </c>
      <c r="I7" s="11" t="s">
        <v>569</v>
      </c>
      <c r="J7" s="11" t="s">
        <v>721</v>
      </c>
    </row>
    <row r="8" customFormat="false" ht="15" hidden="false" customHeight="true" outlineLevel="0" collapsed="false">
      <c r="A8" s="11" t="s">
        <v>722</v>
      </c>
      <c r="B8" s="11" t="s">
        <v>633</v>
      </c>
      <c r="C8" s="11" t="n">
        <v>234</v>
      </c>
      <c r="D8" s="11" t="s">
        <v>60</v>
      </c>
      <c r="E8" s="11" t="n">
        <v>15</v>
      </c>
      <c r="F8" s="11" t="n">
        <v>600</v>
      </c>
      <c r="G8" s="16" t="n">
        <f aca="false">F8/C8</f>
        <v>2.56410256410256</v>
      </c>
      <c r="H8" s="16" t="n">
        <f aca="false">F8/E8</f>
        <v>40</v>
      </c>
      <c r="I8" s="11" t="s">
        <v>569</v>
      </c>
      <c r="J8" s="11" t="s">
        <v>723</v>
      </c>
    </row>
    <row r="9" customFormat="false" ht="15" hidden="false" customHeight="true" outlineLevel="0" collapsed="false">
      <c r="A9" s="11" t="s">
        <v>724</v>
      </c>
      <c r="B9" s="11" t="s">
        <v>725</v>
      </c>
      <c r="C9" s="11" t="n">
        <v>660</v>
      </c>
      <c r="D9" s="11" t="s">
        <v>72</v>
      </c>
      <c r="E9" s="11" t="n">
        <v>400</v>
      </c>
      <c r="F9" s="11" t="n">
        <v>600</v>
      </c>
      <c r="G9" s="16" t="n">
        <f aca="false">F9/C9</f>
        <v>0.909090909090909</v>
      </c>
      <c r="H9" s="16" t="n">
        <f aca="false">F9/E9</f>
        <v>1.5</v>
      </c>
      <c r="I9" s="11" t="s">
        <v>551</v>
      </c>
      <c r="J9" s="11" t="s">
        <v>726</v>
      </c>
    </row>
    <row r="10" customFormat="false" ht="15" hidden="false" customHeight="true" outlineLevel="0" collapsed="false">
      <c r="A10" s="11" t="s">
        <v>727</v>
      </c>
      <c r="B10" s="11" t="s">
        <v>725</v>
      </c>
      <c r="C10" s="11" t="n">
        <v>400</v>
      </c>
      <c r="D10" s="11" t="s">
        <v>72</v>
      </c>
      <c r="E10" s="11" t="n">
        <v>250</v>
      </c>
      <c r="F10" s="11" t="n">
        <v>600</v>
      </c>
      <c r="G10" s="16" t="n">
        <f aca="false">F10/C10</f>
        <v>1.5</v>
      </c>
      <c r="H10" s="16" t="n">
        <f aca="false">F10/E10</f>
        <v>2.4</v>
      </c>
      <c r="I10" s="11" t="s">
        <v>551</v>
      </c>
      <c r="J10" s="11" t="s">
        <v>728</v>
      </c>
    </row>
    <row r="11" customFormat="false" ht="15" hidden="false" customHeight="true" outlineLevel="0" collapsed="false">
      <c r="A11" s="11" t="s">
        <v>729</v>
      </c>
      <c r="B11" s="11" t="s">
        <v>34</v>
      </c>
      <c r="C11" s="11" t="n">
        <v>50</v>
      </c>
      <c r="D11" s="11" t="s">
        <v>75</v>
      </c>
      <c r="E11" s="11" t="n">
        <v>20</v>
      </c>
      <c r="F11" s="11" t="n">
        <v>600</v>
      </c>
      <c r="G11" s="16" t="n">
        <f aca="false">F11/C11</f>
        <v>12</v>
      </c>
      <c r="H11" s="16" t="n">
        <f aca="false">F11/E11</f>
        <v>30</v>
      </c>
      <c r="I11" s="11" t="s">
        <v>551</v>
      </c>
      <c r="J11" s="11" t="s">
        <v>730</v>
      </c>
    </row>
    <row r="12" customFormat="false" ht="15" hidden="false" customHeight="true" outlineLevel="0" collapsed="false">
      <c r="A12" s="1" t="s">
        <v>731</v>
      </c>
      <c r="B12" s="1" t="s">
        <v>34</v>
      </c>
      <c r="C12" s="1" t="n">
        <v>80</v>
      </c>
      <c r="D12" s="1" t="s">
        <v>732</v>
      </c>
      <c r="E12" s="1" t="n">
        <v>80</v>
      </c>
      <c r="F12" s="1" t="n">
        <v>600</v>
      </c>
      <c r="G12" s="1" t="n">
        <v>7.5</v>
      </c>
      <c r="H12" s="1" t="n">
        <v>7.5</v>
      </c>
      <c r="I12" s="1" t="s">
        <v>599</v>
      </c>
      <c r="J12" s="1" t="s">
        <v>733</v>
      </c>
    </row>
    <row r="13" customFormat="false" ht="15" hidden="false" customHeight="true" outlineLevel="0" collapsed="false">
      <c r="A13" s="1" t="s">
        <v>734</v>
      </c>
      <c r="B13" s="1" t="s">
        <v>34</v>
      </c>
      <c r="C13" s="1" t="n">
        <v>80</v>
      </c>
      <c r="D13" s="1" t="s">
        <v>735</v>
      </c>
      <c r="E13" s="1" t="n">
        <v>15</v>
      </c>
      <c r="F13" s="1" t="n">
        <v>600</v>
      </c>
      <c r="G13" s="1" t="n">
        <v>7.5</v>
      </c>
      <c r="H13" s="1" t="n">
        <v>40</v>
      </c>
      <c r="I13" s="1" t="s">
        <v>599</v>
      </c>
      <c r="J13" s="1" t="s">
        <v>736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8"/>
  </cols>
  <sheetData>
    <row r="1" customFormat="false" ht="23.25" hidden="false" customHeight="true" outlineLevel="0" collapsed="false">
      <c r="A1" s="2" t="s">
        <v>453</v>
      </c>
      <c r="B1" s="2" t="s">
        <v>737</v>
      </c>
      <c r="C1" s="2" t="s">
        <v>738</v>
      </c>
      <c r="D1" s="2" t="s">
        <v>739</v>
      </c>
      <c r="E1" s="2" t="s">
        <v>740</v>
      </c>
      <c r="F1" s="2" t="s">
        <v>741</v>
      </c>
      <c r="G1" s="2" t="s">
        <v>742</v>
      </c>
      <c r="H1" s="2" t="s">
        <v>743</v>
      </c>
      <c r="I1" s="2" t="s">
        <v>443</v>
      </c>
      <c r="J1" s="2" t="s">
        <v>446</v>
      </c>
    </row>
    <row r="2" customFormat="false" ht="15" hidden="false" customHeight="true" outlineLevel="0" collapsed="false">
      <c r="A2" s="11" t="s">
        <v>744</v>
      </c>
      <c r="B2" s="11" t="n">
        <v>1</v>
      </c>
      <c r="C2" s="11" t="n">
        <v>0.67</v>
      </c>
      <c r="D2" s="11" t="s">
        <v>663</v>
      </c>
      <c r="E2" s="11" t="s">
        <v>745</v>
      </c>
      <c r="F2" s="11" t="s">
        <v>745</v>
      </c>
      <c r="G2" s="11"/>
      <c r="H2" s="11"/>
      <c r="I2" s="11" t="s">
        <v>551</v>
      </c>
      <c r="J2" s="11" t="s">
        <v>746</v>
      </c>
    </row>
    <row r="3" customFormat="false" ht="15" hidden="false" customHeight="true" outlineLevel="0" collapsed="false">
      <c r="A3" s="11" t="s">
        <v>19</v>
      </c>
      <c r="B3" s="11" t="n">
        <v>0.166</v>
      </c>
      <c r="C3" s="11" t="n">
        <v>0.67</v>
      </c>
      <c r="D3" s="11" t="s">
        <v>668</v>
      </c>
      <c r="E3" s="11" t="s">
        <v>747</v>
      </c>
      <c r="F3" s="11" t="s">
        <v>748</v>
      </c>
      <c r="G3" s="11" t="s">
        <v>749</v>
      </c>
      <c r="H3" s="11" t="s">
        <v>750</v>
      </c>
      <c r="I3" s="11" t="s">
        <v>551</v>
      </c>
      <c r="J3" s="11" t="s">
        <v>751</v>
      </c>
    </row>
    <row r="4" customFormat="false" ht="15" hidden="false" customHeight="true" outlineLevel="0" collapsed="false">
      <c r="A4" s="11" t="s">
        <v>27</v>
      </c>
      <c r="B4" s="11" t="n">
        <v>0.378</v>
      </c>
      <c r="C4" s="11" t="n">
        <v>0.67</v>
      </c>
      <c r="D4" s="11" t="s">
        <v>668</v>
      </c>
      <c r="E4" s="11" t="s">
        <v>747</v>
      </c>
      <c r="F4" s="11" t="s">
        <v>748</v>
      </c>
      <c r="G4" s="11" t="s">
        <v>749</v>
      </c>
      <c r="H4" s="11" t="s">
        <v>752</v>
      </c>
      <c r="I4" s="11" t="s">
        <v>551</v>
      </c>
      <c r="J4" s="11" t="s">
        <v>753</v>
      </c>
    </row>
    <row r="5" customFormat="false" ht="15" hidden="false" customHeight="true" outlineLevel="0" collapsed="false">
      <c r="A5" s="11" t="s">
        <v>754</v>
      </c>
      <c r="B5" s="11" t="s">
        <v>755</v>
      </c>
      <c r="C5" s="11" t="n">
        <v>0.67</v>
      </c>
      <c r="D5" s="11" t="s">
        <v>668</v>
      </c>
      <c r="E5" s="11" t="s">
        <v>756</v>
      </c>
      <c r="F5" s="11" t="s">
        <v>757</v>
      </c>
      <c r="G5" s="11" t="s">
        <v>758</v>
      </c>
      <c r="H5" s="11" t="s">
        <v>759</v>
      </c>
      <c r="I5" s="11" t="s">
        <v>551</v>
      </c>
      <c r="J5" s="11" t="s">
        <v>760</v>
      </c>
    </row>
    <row r="6" customFormat="false" ht="15" hidden="false" customHeight="true" outlineLevel="0" collapsed="false">
      <c r="A6" s="11" t="s">
        <v>761</v>
      </c>
      <c r="B6" s="11" t="n">
        <v>1</v>
      </c>
      <c r="C6" s="11" t="n">
        <v>0.67</v>
      </c>
      <c r="D6" s="11" t="s">
        <v>663</v>
      </c>
      <c r="E6" s="11" t="s">
        <v>762</v>
      </c>
      <c r="F6" s="11" t="s">
        <v>763</v>
      </c>
      <c r="G6" s="11" t="s">
        <v>764</v>
      </c>
      <c r="H6" s="11" t="s">
        <v>765</v>
      </c>
      <c r="I6" s="11" t="s">
        <v>551</v>
      </c>
      <c r="J6" s="11" t="s">
        <v>766</v>
      </c>
    </row>
    <row r="7" customFormat="false" ht="15" hidden="false" customHeight="true" outlineLevel="0" collapsed="false">
      <c r="A7" s="11" t="s">
        <v>767</v>
      </c>
      <c r="B7" s="11" t="n">
        <v>1</v>
      </c>
      <c r="C7" s="11" t="n">
        <v>0.67</v>
      </c>
      <c r="D7" s="11" t="s">
        <v>663</v>
      </c>
      <c r="E7" s="11" t="s">
        <v>762</v>
      </c>
      <c r="F7" s="11" t="s">
        <v>763</v>
      </c>
      <c r="G7" s="11" t="s">
        <v>768</v>
      </c>
      <c r="H7" s="11" t="s">
        <v>769</v>
      </c>
      <c r="I7" s="11" t="s">
        <v>551</v>
      </c>
      <c r="J7" s="11" t="s">
        <v>770</v>
      </c>
    </row>
    <row r="8" customFormat="false" ht="15" hidden="false" customHeight="true" outlineLevel="0" collapsed="false">
      <c r="A8" s="11" t="s">
        <v>771</v>
      </c>
      <c r="B8" s="11" t="n">
        <v>1</v>
      </c>
      <c r="C8" s="11" t="n">
        <v>0.67</v>
      </c>
      <c r="D8" s="11" t="s">
        <v>663</v>
      </c>
      <c r="E8" s="11" t="s">
        <v>762</v>
      </c>
      <c r="F8" s="11" t="s">
        <v>763</v>
      </c>
      <c r="G8" s="11" t="s">
        <v>772</v>
      </c>
      <c r="H8" s="11" t="s">
        <v>773</v>
      </c>
      <c r="I8" s="11" t="s">
        <v>551</v>
      </c>
      <c r="J8" s="11" t="s">
        <v>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8"/>
  </cols>
  <sheetData>
    <row r="1" customFormat="false" ht="15" hidden="false" customHeight="true" outlineLevel="0" collapsed="false">
      <c r="A1" s="2" t="s">
        <v>5</v>
      </c>
      <c r="B1" s="2" t="s">
        <v>775</v>
      </c>
      <c r="C1" s="2" t="s">
        <v>776</v>
      </c>
      <c r="D1" s="2" t="s">
        <v>777</v>
      </c>
      <c r="E1" s="2" t="s">
        <v>778</v>
      </c>
      <c r="F1" s="2" t="s">
        <v>779</v>
      </c>
      <c r="G1" s="2" t="s">
        <v>443</v>
      </c>
      <c r="H1" s="2" t="s">
        <v>446</v>
      </c>
    </row>
    <row r="2" customFormat="false" ht="15" hidden="false" customHeight="true" outlineLevel="0" collapsed="false">
      <c r="A2" s="11" t="s">
        <v>623</v>
      </c>
      <c r="B2" s="11" t="n">
        <v>0.01</v>
      </c>
      <c r="C2" s="11" t="n">
        <v>0.05</v>
      </c>
      <c r="D2" s="11" t="n">
        <v>0.03</v>
      </c>
      <c r="E2" s="11" t="n">
        <v>600</v>
      </c>
      <c r="F2" s="11" t="s">
        <v>663</v>
      </c>
      <c r="G2" s="11" t="s">
        <v>595</v>
      </c>
      <c r="H2" s="11" t="s">
        <v>780</v>
      </c>
    </row>
    <row r="3" customFormat="false" ht="15" hidden="false" customHeight="true" outlineLevel="0" collapsed="false">
      <c r="A3" s="11" t="s">
        <v>631</v>
      </c>
      <c r="B3" s="11" t="n">
        <v>1.3</v>
      </c>
      <c r="C3" s="11" t="n">
        <v>1.3</v>
      </c>
      <c r="D3" s="11" t="n">
        <v>1.3</v>
      </c>
      <c r="E3" s="11" t="n">
        <v>100</v>
      </c>
      <c r="F3" s="11" t="s">
        <v>781</v>
      </c>
      <c r="G3" s="11" t="s">
        <v>595</v>
      </c>
      <c r="H3" s="11" t="s">
        <v>782</v>
      </c>
    </row>
    <row r="4" customFormat="false" ht="15" hidden="false" customHeight="true" outlineLevel="0" collapsed="false">
      <c r="A4" s="11" t="s">
        <v>636</v>
      </c>
      <c r="B4" s="11" t="n">
        <v>1.3</v>
      </c>
      <c r="C4" s="11" t="n">
        <v>1.3</v>
      </c>
      <c r="D4" s="11" t="n">
        <v>1.3</v>
      </c>
      <c r="E4" s="11" t="n">
        <v>100</v>
      </c>
      <c r="F4" s="11" t="s">
        <v>781</v>
      </c>
      <c r="G4" s="11" t="s">
        <v>595</v>
      </c>
      <c r="H4" s="11" t="s">
        <v>783</v>
      </c>
    </row>
    <row r="5" customFormat="false" ht="15" hidden="false" customHeight="true" outlineLevel="0" collapsed="false">
      <c r="A5" s="11" t="s">
        <v>633</v>
      </c>
      <c r="B5" s="11" t="n">
        <v>180</v>
      </c>
      <c r="C5" s="11" t="n">
        <v>1320</v>
      </c>
      <c r="D5" s="11" t="n">
        <v>750</v>
      </c>
      <c r="E5" s="11" t="n">
        <v>2</v>
      </c>
      <c r="F5" s="11" t="s">
        <v>668</v>
      </c>
      <c r="G5" s="11" t="s">
        <v>595</v>
      </c>
      <c r="H5" s="11" t="s">
        <v>784</v>
      </c>
    </row>
    <row r="6" customFormat="false" ht="15" hidden="false" customHeight="true" outlineLevel="0" collapsed="false">
      <c r="A6" s="11" t="s">
        <v>640</v>
      </c>
      <c r="B6" s="11" t="n">
        <v>180</v>
      </c>
      <c r="C6" s="11" t="n">
        <v>1320</v>
      </c>
      <c r="D6" s="11" t="n">
        <v>750</v>
      </c>
      <c r="E6" s="11" t="n">
        <v>2</v>
      </c>
      <c r="F6" s="11" t="s">
        <v>668</v>
      </c>
      <c r="G6" s="11" t="s">
        <v>595</v>
      </c>
      <c r="H6" s="11" t="s">
        <v>785</v>
      </c>
    </row>
    <row r="7" customFormat="false" ht="15" hidden="false" customHeight="true" outlineLevel="0" collapsed="false">
      <c r="A7" s="11" t="s">
        <v>786</v>
      </c>
      <c r="B7" s="11" t="n">
        <v>1.5</v>
      </c>
      <c r="C7" s="11" t="n">
        <v>1.5</v>
      </c>
      <c r="D7" s="11" t="n">
        <v>1.5</v>
      </c>
      <c r="E7" s="11" t="n">
        <v>100</v>
      </c>
      <c r="F7" s="11" t="s">
        <v>781</v>
      </c>
      <c r="G7" s="11" t="s">
        <v>595</v>
      </c>
      <c r="H7" s="11" t="s">
        <v>787</v>
      </c>
    </row>
    <row r="8" customFormat="false" ht="15" hidden="false" customHeight="true" outlineLevel="0" collapsed="false">
      <c r="A8" s="11" t="s">
        <v>788</v>
      </c>
      <c r="B8" s="11" t="n">
        <v>1.5</v>
      </c>
      <c r="C8" s="11" t="n">
        <v>1.5</v>
      </c>
      <c r="D8" s="11" t="n">
        <v>1.5</v>
      </c>
      <c r="E8" s="11" t="n">
        <v>50</v>
      </c>
      <c r="F8" s="11" t="s">
        <v>781</v>
      </c>
      <c r="G8" s="11" t="s">
        <v>595</v>
      </c>
      <c r="H8" s="11" t="s">
        <v>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18"/>
  </cols>
  <sheetData>
    <row r="1" customFormat="false" ht="23.25" hidden="false" customHeight="true" outlineLevel="0" collapsed="false">
      <c r="A1" s="2" t="s">
        <v>790</v>
      </c>
      <c r="B1" s="2" t="s">
        <v>5</v>
      </c>
      <c r="C1" s="2" t="s">
        <v>791</v>
      </c>
      <c r="D1" s="2" t="s">
        <v>792</v>
      </c>
      <c r="E1" s="2" t="s">
        <v>793</v>
      </c>
      <c r="F1" s="2" t="s">
        <v>491</v>
      </c>
      <c r="G1" s="2" t="s">
        <v>794</v>
      </c>
      <c r="H1" s="2" t="s">
        <v>443</v>
      </c>
      <c r="I1" s="2" t="s">
        <v>446</v>
      </c>
    </row>
    <row r="2" customFormat="false" ht="15" hidden="false" customHeight="true" outlineLevel="0" collapsed="false">
      <c r="A2" s="11" t="s">
        <v>795</v>
      </c>
      <c r="B2" s="11" t="s">
        <v>633</v>
      </c>
      <c r="C2" s="11" t="s">
        <v>796</v>
      </c>
      <c r="D2" s="11" t="n">
        <v>0.012</v>
      </c>
      <c r="E2" s="11" t="n">
        <v>0.3</v>
      </c>
      <c r="F2" s="11" t="n">
        <v>6</v>
      </c>
      <c r="G2" s="11" t="n">
        <v>2024</v>
      </c>
      <c r="H2" s="11" t="s">
        <v>581</v>
      </c>
      <c r="I2" s="11" t="s">
        <v>797</v>
      </c>
    </row>
    <row r="3" customFormat="false" ht="15" hidden="false" customHeight="true" outlineLevel="0" collapsed="false">
      <c r="A3" s="11" t="s">
        <v>795</v>
      </c>
      <c r="B3" s="11" t="s">
        <v>633</v>
      </c>
      <c r="C3" s="11" t="s">
        <v>798</v>
      </c>
      <c r="D3" s="11" t="n">
        <v>2</v>
      </c>
      <c r="E3" s="11" t="n">
        <v>25</v>
      </c>
      <c r="F3" s="11" t="n">
        <v>3</v>
      </c>
      <c r="G3" s="11" t="n">
        <v>2035</v>
      </c>
      <c r="H3" s="11" t="s">
        <v>581</v>
      </c>
      <c r="I3" s="11" t="s">
        <v>799</v>
      </c>
    </row>
    <row r="4" customFormat="false" ht="15" hidden="false" customHeight="true" outlineLevel="0" collapsed="false">
      <c r="A4" s="11" t="s">
        <v>795</v>
      </c>
      <c r="B4" s="11" t="s">
        <v>631</v>
      </c>
      <c r="C4" s="11" t="s">
        <v>800</v>
      </c>
      <c r="D4" s="11" t="n">
        <v>10</v>
      </c>
      <c r="E4" s="11" t="n">
        <v>50</v>
      </c>
      <c r="F4" s="11" t="n">
        <v>3</v>
      </c>
      <c r="G4" s="11" t="n">
        <v>2032</v>
      </c>
      <c r="H4" s="11" t="s">
        <v>590</v>
      </c>
      <c r="I4" s="11" t="s">
        <v>801</v>
      </c>
    </row>
    <row r="5" customFormat="false" ht="15" hidden="false" customHeight="true" outlineLevel="0" collapsed="false">
      <c r="A5" s="11" t="s">
        <v>795</v>
      </c>
      <c r="B5" s="11" t="s">
        <v>631</v>
      </c>
      <c r="C5" s="11" t="s">
        <v>802</v>
      </c>
      <c r="D5" s="11" t="n">
        <v>5</v>
      </c>
      <c r="E5" s="11" t="n">
        <v>100</v>
      </c>
      <c r="F5" s="11" t="n">
        <v>2</v>
      </c>
      <c r="G5" s="11" t="n">
        <v>2035</v>
      </c>
      <c r="H5" s="11" t="s">
        <v>590</v>
      </c>
      <c r="I5" s="11" t="s">
        <v>803</v>
      </c>
    </row>
    <row r="6" customFormat="false" ht="15" hidden="false" customHeight="true" outlineLevel="0" collapsed="false">
      <c r="A6" s="11" t="s">
        <v>804</v>
      </c>
      <c r="B6" s="11" t="s">
        <v>631</v>
      </c>
      <c r="C6" s="11" t="s">
        <v>805</v>
      </c>
      <c r="D6" s="11" t="n">
        <v>50</v>
      </c>
      <c r="E6" s="11" t="n">
        <v>30</v>
      </c>
      <c r="F6" s="11" t="n">
        <v>2</v>
      </c>
      <c r="G6" s="11" t="n">
        <v>2032</v>
      </c>
      <c r="H6" s="11" t="s">
        <v>590</v>
      </c>
      <c r="I6" s="11" t="s">
        <v>806</v>
      </c>
    </row>
    <row r="7" customFormat="false" ht="15" hidden="false" customHeight="true" outlineLevel="0" collapsed="false">
      <c r="A7" s="11" t="s">
        <v>804</v>
      </c>
      <c r="B7" s="11" t="s">
        <v>633</v>
      </c>
      <c r="C7" s="11" t="s">
        <v>183</v>
      </c>
      <c r="D7" s="11" t="n">
        <v>20</v>
      </c>
      <c r="E7" s="11" t="n">
        <v>15</v>
      </c>
      <c r="F7" s="11" t="n">
        <v>2</v>
      </c>
      <c r="G7" s="11" t="n">
        <v>2035</v>
      </c>
      <c r="H7" s="11" t="s">
        <v>569</v>
      </c>
      <c r="I7" s="11" t="s">
        <v>807</v>
      </c>
    </row>
    <row r="8" customFormat="false" ht="15" hidden="false" customHeight="true" outlineLevel="0" collapsed="false">
      <c r="A8" s="11" t="s">
        <v>808</v>
      </c>
      <c r="B8" s="11" t="s">
        <v>633</v>
      </c>
      <c r="C8" s="11" t="s">
        <v>809</v>
      </c>
      <c r="D8" s="11" t="n">
        <v>5</v>
      </c>
      <c r="E8" s="11" t="n">
        <v>10</v>
      </c>
      <c r="F8" s="11" t="n">
        <v>5</v>
      </c>
      <c r="G8" s="11" t="n">
        <v>2030</v>
      </c>
      <c r="H8" s="11" t="s">
        <v>581</v>
      </c>
      <c r="I8" s="11" t="s">
        <v>810</v>
      </c>
    </row>
    <row r="9" customFormat="false" ht="15" hidden="false" customHeight="true" outlineLevel="0" collapsed="false">
      <c r="A9" s="11" t="s">
        <v>811</v>
      </c>
      <c r="B9" s="11" t="s">
        <v>631</v>
      </c>
      <c r="C9" s="11" t="s">
        <v>173</v>
      </c>
      <c r="D9" s="11" t="n">
        <v>1</v>
      </c>
      <c r="E9" s="11" t="n">
        <v>200</v>
      </c>
      <c r="F9" s="11" t="n">
        <v>1</v>
      </c>
      <c r="G9" s="11" t="n">
        <v>2040</v>
      </c>
      <c r="H9" s="11" t="s">
        <v>590</v>
      </c>
      <c r="I9" s="11" t="s">
        <v>812</v>
      </c>
    </row>
    <row r="10" customFormat="false" ht="15" hidden="false" customHeight="true" outlineLevel="0" collapsed="false">
      <c r="A10" s="11" t="s">
        <v>813</v>
      </c>
      <c r="B10" s="11" t="s">
        <v>631</v>
      </c>
      <c r="C10" s="11" t="s">
        <v>814</v>
      </c>
      <c r="D10" s="11" t="n">
        <v>0.001</v>
      </c>
      <c r="E10" s="11" t="n">
        <v>500</v>
      </c>
      <c r="F10" s="11" t="n">
        <v>1</v>
      </c>
      <c r="G10" s="11" t="n">
        <v>2050</v>
      </c>
      <c r="H10" s="11" t="s">
        <v>590</v>
      </c>
      <c r="I10" s="11" t="s">
        <v>815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8"/>
  </cols>
  <sheetData>
    <row r="1" customFormat="false" ht="23.25" hidden="false" customHeight="true" outlineLevel="0" collapsed="false">
      <c r="A1" s="2" t="s">
        <v>470</v>
      </c>
      <c r="B1" s="2" t="s">
        <v>418</v>
      </c>
      <c r="C1" s="2" t="s">
        <v>540</v>
      </c>
      <c r="D1" s="2" t="s">
        <v>816</v>
      </c>
      <c r="E1" s="2" t="s">
        <v>817</v>
      </c>
      <c r="F1" s="2" t="s">
        <v>818</v>
      </c>
      <c r="G1" s="2" t="s">
        <v>819</v>
      </c>
      <c r="H1" s="2" t="s">
        <v>491</v>
      </c>
      <c r="I1" s="2" t="s">
        <v>443</v>
      </c>
      <c r="J1" s="2" t="s">
        <v>446</v>
      </c>
    </row>
    <row r="2" customFormat="false" ht="15" hidden="false" customHeight="true" outlineLevel="0" collapsed="false">
      <c r="A2" s="11" t="s">
        <v>820</v>
      </c>
      <c r="B2" s="11" t="s">
        <v>687</v>
      </c>
      <c r="C2" s="11" t="s">
        <v>821</v>
      </c>
      <c r="D2" s="11" t="n">
        <v>120</v>
      </c>
      <c r="E2" s="11" t="n">
        <v>14000</v>
      </c>
      <c r="F2" s="11" t="n">
        <v>8.6</v>
      </c>
      <c r="G2" s="11" t="s">
        <v>623</v>
      </c>
      <c r="H2" s="11" t="n">
        <v>9</v>
      </c>
      <c r="I2" s="11" t="s">
        <v>543</v>
      </c>
      <c r="J2" s="11" t="s">
        <v>822</v>
      </c>
    </row>
    <row r="3" customFormat="false" ht="15" hidden="false" customHeight="true" outlineLevel="0" collapsed="false">
      <c r="A3" s="11" t="s">
        <v>823</v>
      </c>
      <c r="B3" s="11" t="s">
        <v>824</v>
      </c>
      <c r="C3" s="11" t="s">
        <v>825</v>
      </c>
      <c r="D3" s="11" t="n">
        <v>1</v>
      </c>
      <c r="E3" s="11" t="n">
        <v>226</v>
      </c>
      <c r="F3" s="11" t="n">
        <v>4.4</v>
      </c>
      <c r="G3" s="11" t="s">
        <v>826</v>
      </c>
      <c r="H3" s="11" t="n">
        <v>5</v>
      </c>
      <c r="I3" s="11" t="s">
        <v>586</v>
      </c>
      <c r="J3" s="11" t="s">
        <v>827</v>
      </c>
    </row>
    <row r="4" customFormat="false" ht="15" hidden="false" customHeight="true" outlineLevel="0" collapsed="false">
      <c r="A4" s="11" t="s">
        <v>828</v>
      </c>
      <c r="B4" s="11" t="s">
        <v>824</v>
      </c>
      <c r="C4" s="11" t="s">
        <v>825</v>
      </c>
      <c r="D4" s="11" t="n">
        <v>10</v>
      </c>
      <c r="E4" s="11" t="n">
        <v>1500</v>
      </c>
      <c r="F4" s="11" t="n">
        <v>6.7</v>
      </c>
      <c r="G4" s="11" t="s">
        <v>826</v>
      </c>
      <c r="H4" s="11" t="n">
        <v>4</v>
      </c>
      <c r="I4" s="11" t="s">
        <v>586</v>
      </c>
      <c r="J4" s="11" t="s">
        <v>829</v>
      </c>
    </row>
    <row r="5" customFormat="false" ht="15" hidden="false" customHeight="true" outlineLevel="0" collapsed="false">
      <c r="A5" s="11" t="s">
        <v>830</v>
      </c>
      <c r="B5" s="11" t="s">
        <v>831</v>
      </c>
      <c r="C5" s="11" t="s">
        <v>825</v>
      </c>
      <c r="D5" s="11" t="n">
        <v>40</v>
      </c>
      <c r="E5" s="11" t="n">
        <v>6000</v>
      </c>
      <c r="F5" s="11" t="n">
        <v>6.7</v>
      </c>
      <c r="G5" s="11" t="s">
        <v>631</v>
      </c>
      <c r="H5" s="11" t="n">
        <v>4</v>
      </c>
      <c r="I5" s="11" t="s">
        <v>586</v>
      </c>
      <c r="J5" s="11" t="s">
        <v>832</v>
      </c>
    </row>
    <row r="6" customFormat="false" ht="15" hidden="false" customHeight="true" outlineLevel="0" collapsed="false">
      <c r="A6" s="11" t="s">
        <v>833</v>
      </c>
      <c r="B6" s="11" t="s">
        <v>834</v>
      </c>
      <c r="C6" s="11" t="s">
        <v>825</v>
      </c>
      <c r="D6" s="11" t="n">
        <v>50</v>
      </c>
      <c r="E6" s="11" t="n">
        <v>5000</v>
      </c>
      <c r="F6" s="11" t="n">
        <v>10</v>
      </c>
      <c r="G6" s="11" t="s">
        <v>826</v>
      </c>
      <c r="H6" s="11" t="n">
        <v>3</v>
      </c>
      <c r="I6" s="11" t="s">
        <v>595</v>
      </c>
      <c r="J6" s="11" t="s">
        <v>835</v>
      </c>
    </row>
    <row r="7" customFormat="false" ht="15" hidden="false" customHeight="true" outlineLevel="0" collapsed="false">
      <c r="A7" s="11" t="s">
        <v>836</v>
      </c>
      <c r="B7" s="11" t="s">
        <v>141</v>
      </c>
      <c r="C7" s="11" t="s">
        <v>821</v>
      </c>
      <c r="D7" s="11" t="n">
        <v>10</v>
      </c>
      <c r="E7" s="11" t="n">
        <v>200</v>
      </c>
      <c r="F7" s="11" t="n">
        <v>50</v>
      </c>
      <c r="G7" s="11" t="s">
        <v>633</v>
      </c>
      <c r="H7" s="11" t="n">
        <v>7</v>
      </c>
      <c r="I7" s="11" t="s">
        <v>569</v>
      </c>
      <c r="J7" s="11" t="s">
        <v>837</v>
      </c>
    </row>
    <row r="8" customFormat="false" ht="15" hidden="false" customHeight="true" outlineLevel="0" collapsed="false">
      <c r="A8" s="11" t="s">
        <v>838</v>
      </c>
      <c r="B8" s="11" t="s">
        <v>831</v>
      </c>
      <c r="C8" s="11" t="s">
        <v>839</v>
      </c>
      <c r="D8" s="11" t="n">
        <v>0.11</v>
      </c>
      <c r="E8" s="11" t="n">
        <v>45</v>
      </c>
      <c r="F8" s="11" t="n">
        <v>2.4</v>
      </c>
      <c r="G8" s="11" t="s">
        <v>840</v>
      </c>
      <c r="H8" s="11" t="n">
        <v>9</v>
      </c>
      <c r="I8" s="11" t="s">
        <v>569</v>
      </c>
      <c r="J8" s="11" t="s">
        <v>841</v>
      </c>
    </row>
    <row r="9" customFormat="false" ht="15" hidden="false" customHeight="true" outlineLevel="0" collapsed="false">
      <c r="A9" s="11" t="s">
        <v>842</v>
      </c>
      <c r="B9" s="11" t="s">
        <v>831</v>
      </c>
      <c r="C9" s="11" t="s">
        <v>839</v>
      </c>
      <c r="D9" s="11" t="n">
        <v>0.5</v>
      </c>
      <c r="E9" s="11" t="n">
        <v>50</v>
      </c>
      <c r="F9" s="11" t="n">
        <v>10</v>
      </c>
      <c r="G9" s="11" t="s">
        <v>840</v>
      </c>
      <c r="H9" s="11" t="n">
        <v>4</v>
      </c>
      <c r="I9" s="11" t="s">
        <v>586</v>
      </c>
      <c r="J9" s="11" t="s">
        <v>843</v>
      </c>
    </row>
    <row r="10" customFormat="false" ht="15" hidden="false" customHeight="true" outlineLevel="0" collapsed="false">
      <c r="A10" s="11" t="s">
        <v>844</v>
      </c>
      <c r="B10" s="11" t="s">
        <v>141</v>
      </c>
      <c r="C10" s="11" t="s">
        <v>821</v>
      </c>
      <c r="D10" s="11" t="n">
        <v>1000</v>
      </c>
      <c r="E10" s="11" t="n">
        <v>10000</v>
      </c>
      <c r="F10" s="11" t="n">
        <v>100</v>
      </c>
      <c r="G10" s="11" t="s">
        <v>34</v>
      </c>
      <c r="H10" s="11" t="n">
        <v>3</v>
      </c>
      <c r="I10" s="11" t="s">
        <v>595</v>
      </c>
      <c r="J10" s="11" t="s">
        <v>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9" min="1" style="1" width="18"/>
  </cols>
  <sheetData>
    <row r="1" customFormat="false" ht="23.25" hidden="false" customHeight="true" outlineLevel="0" collapsed="false">
      <c r="A1" s="2" t="s">
        <v>846</v>
      </c>
      <c r="B1" s="2" t="s">
        <v>5</v>
      </c>
      <c r="C1" s="2" t="s">
        <v>847</v>
      </c>
      <c r="D1" s="2" t="s">
        <v>848</v>
      </c>
      <c r="E1" s="17" t="s">
        <v>849</v>
      </c>
      <c r="F1" s="17" t="s">
        <v>850</v>
      </c>
      <c r="G1" s="2" t="s">
        <v>851</v>
      </c>
      <c r="H1" s="2" t="s">
        <v>852</v>
      </c>
      <c r="I1" s="2" t="s">
        <v>853</v>
      </c>
      <c r="J1" s="2" t="s">
        <v>443</v>
      </c>
      <c r="K1" s="2" t="s">
        <v>446</v>
      </c>
    </row>
    <row r="2" customFormat="false" ht="15" hidden="false" customHeight="true" outlineLevel="0" collapsed="false">
      <c r="A2" s="11" t="s">
        <v>854</v>
      </c>
      <c r="B2" s="11" t="s">
        <v>623</v>
      </c>
      <c r="C2" s="11" t="s">
        <v>855</v>
      </c>
      <c r="D2" s="12" t="n">
        <v>500000000</v>
      </c>
      <c r="E2" s="1" t="n">
        <v>0.05</v>
      </c>
      <c r="F2" s="1" t="n">
        <f aca="false">D2*E2</f>
        <v>25000000</v>
      </c>
      <c r="G2" s="11" t="s">
        <v>663</v>
      </c>
      <c r="H2" s="11" t="n">
        <v>1</v>
      </c>
      <c r="I2" s="11" t="s">
        <v>562</v>
      </c>
      <c r="J2" s="11" t="s">
        <v>543</v>
      </c>
      <c r="K2" s="11" t="s">
        <v>856</v>
      </c>
    </row>
    <row r="3" customFormat="false" ht="15" hidden="false" customHeight="true" outlineLevel="0" collapsed="false">
      <c r="A3" s="11" t="s">
        <v>857</v>
      </c>
      <c r="B3" s="11" t="s">
        <v>623</v>
      </c>
      <c r="C3" s="11" t="s">
        <v>287</v>
      </c>
      <c r="D3" s="12" t="n">
        <v>5000000000</v>
      </c>
      <c r="E3" s="1" t="n">
        <v>0.001</v>
      </c>
      <c r="F3" s="1" t="n">
        <f aca="false">D3*E3</f>
        <v>5000000</v>
      </c>
      <c r="G3" s="11" t="s">
        <v>668</v>
      </c>
      <c r="H3" s="11" t="n">
        <v>0</v>
      </c>
      <c r="I3" s="11" t="s">
        <v>858</v>
      </c>
      <c r="J3" s="11" t="s">
        <v>543</v>
      </c>
      <c r="K3" s="11" t="s">
        <v>859</v>
      </c>
    </row>
    <row r="4" customFormat="false" ht="15" hidden="false" customHeight="true" outlineLevel="0" collapsed="false">
      <c r="A4" s="11" t="s">
        <v>860</v>
      </c>
      <c r="B4" s="11" t="s">
        <v>636</v>
      </c>
      <c r="C4" s="11" t="s">
        <v>861</v>
      </c>
      <c r="D4" s="12" t="n">
        <v>2000000000</v>
      </c>
      <c r="E4" s="1" t="n">
        <v>0.03</v>
      </c>
      <c r="F4" s="1" t="n">
        <f aca="false">D4*E4</f>
        <v>60000000</v>
      </c>
      <c r="G4" s="11" t="s">
        <v>663</v>
      </c>
      <c r="H4" s="11" t="n">
        <v>5</v>
      </c>
      <c r="I4" s="11" t="s">
        <v>548</v>
      </c>
      <c r="J4" s="11" t="s">
        <v>543</v>
      </c>
      <c r="K4" s="11" t="s">
        <v>862</v>
      </c>
    </row>
    <row r="5" customFormat="false" ht="15" hidden="false" customHeight="true" outlineLevel="0" collapsed="false">
      <c r="A5" s="11" t="s">
        <v>863</v>
      </c>
      <c r="B5" s="11" t="s">
        <v>631</v>
      </c>
      <c r="C5" s="11" t="s">
        <v>864</v>
      </c>
      <c r="D5" s="12" t="n">
        <v>3000000000</v>
      </c>
      <c r="E5" s="1" t="n">
        <v>0.1</v>
      </c>
      <c r="F5" s="1" t="n">
        <f aca="false">D5*E5</f>
        <v>300000000</v>
      </c>
      <c r="G5" s="11" t="s">
        <v>663</v>
      </c>
      <c r="H5" s="11" t="n">
        <v>7</v>
      </c>
      <c r="I5" s="11" t="s">
        <v>858</v>
      </c>
      <c r="J5" s="11" t="s">
        <v>543</v>
      </c>
      <c r="K5" s="11" t="s">
        <v>865</v>
      </c>
    </row>
    <row r="6" customFormat="false" ht="15" hidden="false" customHeight="true" outlineLevel="0" collapsed="false">
      <c r="A6" s="11" t="s">
        <v>866</v>
      </c>
      <c r="B6" s="11" t="s">
        <v>725</v>
      </c>
      <c r="C6" s="11" t="s">
        <v>867</v>
      </c>
      <c r="D6" s="12" t="n">
        <v>20000000000</v>
      </c>
      <c r="E6" s="1" t="n">
        <v>0.15</v>
      </c>
      <c r="F6" s="1" t="n">
        <f aca="false">D6*E6</f>
        <v>3000000000</v>
      </c>
      <c r="G6" s="11" t="s">
        <v>668</v>
      </c>
      <c r="H6" s="11" t="n">
        <v>0</v>
      </c>
      <c r="I6" s="11" t="s">
        <v>858</v>
      </c>
      <c r="J6" s="11" t="s">
        <v>543</v>
      </c>
      <c r="K6" s="11" t="s">
        <v>281</v>
      </c>
    </row>
    <row r="7" customFormat="false" ht="15" hidden="false" customHeight="true" outlineLevel="0" collapsed="false">
      <c r="A7" s="11" t="s">
        <v>868</v>
      </c>
      <c r="B7" s="11" t="s">
        <v>633</v>
      </c>
      <c r="C7" s="11" t="s">
        <v>864</v>
      </c>
      <c r="D7" s="12" t="n">
        <v>25000000000</v>
      </c>
      <c r="E7" s="1" t="n">
        <v>0.15</v>
      </c>
      <c r="F7" s="1" t="n">
        <f aca="false">D7*E7</f>
        <v>3750000000</v>
      </c>
      <c r="G7" s="11" t="s">
        <v>668</v>
      </c>
      <c r="H7" s="11" t="n">
        <v>0</v>
      </c>
      <c r="I7" s="11" t="s">
        <v>858</v>
      </c>
      <c r="J7" s="11" t="s">
        <v>543</v>
      </c>
      <c r="K7" s="11" t="s">
        <v>869</v>
      </c>
    </row>
    <row r="8" customFormat="false" ht="15" hidden="false" customHeight="true" outlineLevel="0" collapsed="false">
      <c r="A8" s="11" t="s">
        <v>870</v>
      </c>
      <c r="B8" s="11" t="s">
        <v>34</v>
      </c>
      <c r="C8" s="11" t="s">
        <v>871</v>
      </c>
      <c r="D8" s="12" t="n">
        <v>2000000000</v>
      </c>
      <c r="E8" s="1" t="n">
        <v>0.05</v>
      </c>
      <c r="F8" s="1" t="n">
        <f aca="false">D8*E8</f>
        <v>100000000</v>
      </c>
      <c r="G8" s="11" t="s">
        <v>663</v>
      </c>
      <c r="H8" s="11" t="n">
        <v>1</v>
      </c>
      <c r="I8" s="11" t="s">
        <v>562</v>
      </c>
      <c r="J8" s="11" t="s">
        <v>595</v>
      </c>
      <c r="K8" s="11" t="s">
        <v>872</v>
      </c>
    </row>
    <row r="9" customFormat="false" ht="15" hidden="false" customHeight="true" outlineLevel="0" collapsed="false">
      <c r="A9" s="11" t="s">
        <v>873</v>
      </c>
      <c r="B9" s="11" t="s">
        <v>623</v>
      </c>
      <c r="C9" s="11" t="s">
        <v>874</v>
      </c>
      <c r="D9" s="12" t="n">
        <v>15000000000</v>
      </c>
      <c r="E9" s="1" t="n">
        <v>0.02</v>
      </c>
      <c r="F9" s="1" t="n">
        <f aca="false">D9*E9</f>
        <v>300000000</v>
      </c>
      <c r="G9" s="11" t="s">
        <v>668</v>
      </c>
      <c r="H9" s="11" t="n">
        <v>0</v>
      </c>
      <c r="I9" s="11" t="s">
        <v>858</v>
      </c>
      <c r="J9" s="11" t="s">
        <v>543</v>
      </c>
      <c r="K9" s="11" t="s">
        <v>875</v>
      </c>
    </row>
    <row r="10" customFormat="false" ht="15" hidden="false" customHeight="true" outlineLevel="0" collapsed="false">
      <c r="A10" s="11" t="s">
        <v>876</v>
      </c>
      <c r="B10" s="11" t="s">
        <v>623</v>
      </c>
      <c r="C10" s="11" t="s">
        <v>877</v>
      </c>
      <c r="D10" s="12" t="n">
        <v>13000000000</v>
      </c>
      <c r="E10" s="1" t="n">
        <v>0.02</v>
      </c>
      <c r="F10" s="1" t="n">
        <f aca="false">D10*E10</f>
        <v>260000000</v>
      </c>
      <c r="G10" s="11" t="s">
        <v>668</v>
      </c>
      <c r="H10" s="11" t="n">
        <v>0</v>
      </c>
      <c r="I10" s="11" t="s">
        <v>858</v>
      </c>
      <c r="J10" s="11" t="s">
        <v>543</v>
      </c>
      <c r="K10" s="11" t="s">
        <v>878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18"/>
  </cols>
  <sheetData>
    <row r="1" customFormat="false" ht="23.25" hidden="false" customHeight="true" outlineLevel="0" collapsed="false">
      <c r="A1" s="2" t="s">
        <v>879</v>
      </c>
      <c r="B1" s="2" t="s">
        <v>5</v>
      </c>
      <c r="C1" s="2" t="s">
        <v>880</v>
      </c>
      <c r="D1" s="2" t="s">
        <v>881</v>
      </c>
      <c r="E1" s="17" t="s">
        <v>882</v>
      </c>
      <c r="F1" s="2" t="s">
        <v>883</v>
      </c>
      <c r="G1" s="2" t="s">
        <v>884</v>
      </c>
      <c r="H1" s="2" t="s">
        <v>443</v>
      </c>
      <c r="I1" s="2" t="s">
        <v>446</v>
      </c>
    </row>
    <row r="2" customFormat="false" ht="15" hidden="false" customHeight="true" outlineLevel="0" collapsed="false">
      <c r="A2" s="11" t="s">
        <v>885</v>
      </c>
      <c r="B2" s="11" t="s">
        <v>623</v>
      </c>
      <c r="C2" s="12" t="n">
        <v>3000000000</v>
      </c>
      <c r="D2" s="11" t="s">
        <v>323</v>
      </c>
      <c r="E2" s="1" t="str">
        <f aca="false">IF(OR(D2="Existing",D2="Emerging"),"Baseline","Upside")</f>
        <v>Baseline</v>
      </c>
      <c r="F2" s="11" t="n">
        <v>2021</v>
      </c>
      <c r="G2" s="11" t="s">
        <v>886</v>
      </c>
      <c r="H2" s="11" t="s">
        <v>595</v>
      </c>
      <c r="I2" s="11" t="s">
        <v>887</v>
      </c>
    </row>
    <row r="3" customFormat="false" ht="15" hidden="false" customHeight="true" outlineLevel="0" collapsed="false">
      <c r="A3" s="11" t="s">
        <v>888</v>
      </c>
      <c r="B3" s="11" t="s">
        <v>636</v>
      </c>
      <c r="C3" s="12" t="n">
        <v>500000000</v>
      </c>
      <c r="D3" s="11" t="s">
        <v>327</v>
      </c>
      <c r="E3" s="1" t="str">
        <f aca="false">IF(OR(D3="Existing",D3="Emerging"),"Baseline","Upside")</f>
        <v>Baseline</v>
      </c>
      <c r="F3" s="11" t="n">
        <v>2026</v>
      </c>
      <c r="G3" s="11" t="s">
        <v>889</v>
      </c>
      <c r="H3" s="11" t="s">
        <v>595</v>
      </c>
      <c r="I3" s="11" t="s">
        <v>890</v>
      </c>
    </row>
    <row r="4" customFormat="false" ht="15" hidden="false" customHeight="true" outlineLevel="0" collapsed="false">
      <c r="A4" s="11" t="s">
        <v>891</v>
      </c>
      <c r="B4" s="11" t="s">
        <v>623</v>
      </c>
      <c r="C4" s="12" t="n">
        <v>1000000000</v>
      </c>
      <c r="D4" s="11" t="s">
        <v>327</v>
      </c>
      <c r="E4" s="1" t="str">
        <f aca="false">IF(OR(D4="Existing",D4="Emerging"),"Baseline","Upside")</f>
        <v>Baseline</v>
      </c>
      <c r="F4" s="11" t="n">
        <v>2025</v>
      </c>
      <c r="G4" s="11" t="s">
        <v>892</v>
      </c>
      <c r="H4" s="11" t="s">
        <v>595</v>
      </c>
      <c r="I4" s="11" t="s">
        <v>326</v>
      </c>
    </row>
    <row r="5" customFormat="false" ht="15" hidden="false" customHeight="true" outlineLevel="0" collapsed="false">
      <c r="A5" s="11" t="s">
        <v>893</v>
      </c>
      <c r="B5" s="11" t="s">
        <v>623</v>
      </c>
      <c r="C5" s="12" t="n">
        <v>2000000000</v>
      </c>
      <c r="D5" s="11" t="s">
        <v>323</v>
      </c>
      <c r="E5" s="1" t="str">
        <f aca="false">IF(OR(D5="Existing",D5="Emerging"),"Baseline","Upside")</f>
        <v>Baseline</v>
      </c>
      <c r="F5" s="11" t="n">
        <v>2020</v>
      </c>
      <c r="G5" s="11" t="s">
        <v>894</v>
      </c>
      <c r="H5" s="11" t="s">
        <v>595</v>
      </c>
      <c r="I5" s="11" t="s">
        <v>895</v>
      </c>
    </row>
    <row r="6" customFormat="false" ht="15" hidden="false" customHeight="true" outlineLevel="0" collapsed="false">
      <c r="A6" s="11" t="s">
        <v>896</v>
      </c>
      <c r="B6" s="11" t="s">
        <v>623</v>
      </c>
      <c r="C6" s="12" t="n">
        <v>1500000000</v>
      </c>
      <c r="D6" s="11" t="s">
        <v>323</v>
      </c>
      <c r="E6" s="1" t="str">
        <f aca="false">IF(OR(D6="Existing",D6="Emerging"),"Baseline","Upside")</f>
        <v>Baseline</v>
      </c>
      <c r="F6" s="11" t="n">
        <v>2024</v>
      </c>
      <c r="G6" s="11" t="s">
        <v>333</v>
      </c>
      <c r="H6" s="11" t="s">
        <v>595</v>
      </c>
      <c r="I6" s="11" t="s">
        <v>897</v>
      </c>
    </row>
    <row r="7" customFormat="false" ht="15" hidden="false" customHeight="true" outlineLevel="0" collapsed="false">
      <c r="A7" s="11" t="s">
        <v>898</v>
      </c>
      <c r="B7" s="11" t="s">
        <v>631</v>
      </c>
      <c r="C7" s="12" t="n">
        <v>5000000000</v>
      </c>
      <c r="D7" s="11" t="s">
        <v>316</v>
      </c>
      <c r="E7" s="1" t="str">
        <f aca="false">IF(OR(D7="Existing",D7="Emerging"),"Baseline","Upside")</f>
        <v>Upside</v>
      </c>
      <c r="F7" s="11" t="n">
        <v>2035</v>
      </c>
      <c r="G7" s="11" t="s">
        <v>899</v>
      </c>
      <c r="H7" s="11" t="s">
        <v>595</v>
      </c>
      <c r="I7" s="11" t="s">
        <v>900</v>
      </c>
    </row>
    <row r="8" customFormat="false" ht="15" hidden="false" customHeight="true" outlineLevel="0" collapsed="false">
      <c r="A8" s="11" t="s">
        <v>901</v>
      </c>
      <c r="B8" s="11" t="s">
        <v>631</v>
      </c>
      <c r="C8" s="12" t="n">
        <v>10000000000</v>
      </c>
      <c r="D8" s="11" t="s">
        <v>316</v>
      </c>
      <c r="E8" s="1" t="str">
        <f aca="false">IF(OR(D8="Existing",D8="Emerging"),"Baseline","Upside")</f>
        <v>Upside</v>
      </c>
      <c r="F8" s="11" t="n">
        <v>2050</v>
      </c>
      <c r="G8" s="11" t="s">
        <v>902</v>
      </c>
      <c r="H8" s="11" t="s">
        <v>595</v>
      </c>
      <c r="I8" s="11" t="s">
        <v>903</v>
      </c>
    </row>
    <row r="9" customFormat="false" ht="15" hidden="false" customHeight="true" outlineLevel="0" collapsed="false">
      <c r="A9" s="11" t="s">
        <v>904</v>
      </c>
      <c r="B9" s="11" t="s">
        <v>633</v>
      </c>
      <c r="C9" s="12" t="n">
        <v>2000000000</v>
      </c>
      <c r="D9" s="11" t="s">
        <v>316</v>
      </c>
      <c r="E9" s="1" t="str">
        <f aca="false">IF(OR(D9="Existing",D9="Emerging"),"Baseline","Upside")</f>
        <v>Upside</v>
      </c>
      <c r="F9" s="11" t="n">
        <v>2035</v>
      </c>
      <c r="G9" s="11" t="s">
        <v>905</v>
      </c>
      <c r="H9" s="11" t="s">
        <v>595</v>
      </c>
      <c r="I9" s="11" t="s">
        <v>906</v>
      </c>
    </row>
    <row r="10" customFormat="false" ht="15" hidden="false" customHeight="true" outlineLevel="0" collapsed="false">
      <c r="A10" s="11" t="s">
        <v>907</v>
      </c>
      <c r="B10" s="11" t="s">
        <v>623</v>
      </c>
      <c r="C10" s="12" t="n">
        <v>800000000</v>
      </c>
      <c r="D10" s="11" t="s">
        <v>323</v>
      </c>
      <c r="E10" s="1" t="str">
        <f aca="false">IF(OR(D10="Existing",D10="Emerging"),"Baseline","Upside")</f>
        <v>Baseline</v>
      </c>
      <c r="F10" s="11" t="n">
        <v>2020</v>
      </c>
      <c r="G10" s="11" t="s">
        <v>908</v>
      </c>
      <c r="H10" s="11" t="s">
        <v>595</v>
      </c>
      <c r="I10" s="11" t="s">
        <v>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1" width="18"/>
  </cols>
  <sheetData>
    <row r="1" customFormat="false" ht="15" hidden="false" customHeight="true" outlineLevel="0" collapsed="false">
      <c r="A1" s="2" t="s">
        <v>910</v>
      </c>
      <c r="B1" s="2" t="s">
        <v>911</v>
      </c>
      <c r="C1" s="2" t="s">
        <v>912</v>
      </c>
      <c r="D1" s="2" t="s">
        <v>913</v>
      </c>
      <c r="E1" s="2" t="s">
        <v>914</v>
      </c>
      <c r="F1" s="2" t="s">
        <v>915</v>
      </c>
      <c r="G1" s="2" t="s">
        <v>916</v>
      </c>
      <c r="H1" s="2" t="s">
        <v>917</v>
      </c>
      <c r="I1" s="2" t="s">
        <v>918</v>
      </c>
      <c r="J1" s="2" t="s">
        <v>919</v>
      </c>
      <c r="K1" s="2" t="s">
        <v>920</v>
      </c>
      <c r="L1" s="2" t="s">
        <v>921</v>
      </c>
      <c r="M1" s="2" t="s">
        <v>922</v>
      </c>
      <c r="N1" s="2" t="s">
        <v>923</v>
      </c>
    </row>
    <row r="2" customFormat="false" ht="15" hidden="false" customHeight="true" outlineLevel="0" collapsed="false">
      <c r="A2" s="11" t="s">
        <v>924</v>
      </c>
      <c r="B2" s="11" t="s">
        <v>925</v>
      </c>
      <c r="C2" s="11" t="s">
        <v>372</v>
      </c>
      <c r="D2" s="11" t="s">
        <v>430</v>
      </c>
      <c r="E2" s="11" t="s">
        <v>926</v>
      </c>
      <c r="F2" s="18" t="n">
        <f aca="false" t="array" ref="F2:F2">MIN(IF((RAW_Transport_Cost!C$2:C$100="Lunar_Surface")+(RAW_Transport_Cost!C$2:C$100="Lunar_Orbit"),RAW_Transport_Cost!E$2:E$100))</f>
        <v>500</v>
      </c>
      <c r="G2" s="18" t="n">
        <f aca="false" t="array" ref="G2:G2">MIN(IF((RAW_Transport_Cost!C$2:C$100="Mars_Surface")+(RAW_Transport_Cost!C$2:C$100="Mars_Orbit"),RAW_Transport_Cost!E$2:E$100))</f>
        <v>1000</v>
      </c>
      <c r="H2" s="19" t="n">
        <f aca="false" t="array" ref="H2:H2">MIN(IF(RAW_Transport_Cost!C$2:C$100="LEO",RAW_Transport_Cost!E$2:E$100))</f>
        <v>100</v>
      </c>
      <c r="I2" s="19" t="s">
        <v>663</v>
      </c>
      <c r="J2" s="19" t="n">
        <f aca="false">MIN(F2,G2,H2)</f>
        <v>100</v>
      </c>
      <c r="K2" s="19" t="n">
        <f aca="false">MAX(F2,G2,H2)</f>
        <v>1000</v>
      </c>
      <c r="L2" s="19" t="n">
        <f aca="false">IF(K2=J2,5,IF(I2="TRUE",1+9*(K2-F2)/(K2-J2),1+9*(F2-J2)/(K2-J2)))</f>
        <v>6</v>
      </c>
      <c r="M2" s="19" t="n">
        <f aca="false">IF(K2=J2,5,IF(I2="TRUE",1+9*(K2-G2)/(K2-J2),1+9*(G2-J2)/(K2-J2)))</f>
        <v>1</v>
      </c>
      <c r="N2" s="19" t="n">
        <f aca="false">IF(K2=J2,5,IF(I2="TRUE",1+9*(K2-H2)/(K2-J2),1+9*(H2-J2)/(K2-J2)))</f>
        <v>10</v>
      </c>
    </row>
    <row r="3" customFormat="false" ht="15" hidden="false" customHeight="true" outlineLevel="0" collapsed="false">
      <c r="A3" s="11" t="s">
        <v>927</v>
      </c>
      <c r="B3" s="11" t="s">
        <v>928</v>
      </c>
      <c r="C3" s="11" t="s">
        <v>374</v>
      </c>
      <c r="D3" s="11" t="s">
        <v>461</v>
      </c>
      <c r="E3" s="11" t="s">
        <v>929</v>
      </c>
      <c r="F3" s="19" t="n">
        <f aca="false" t="array" ref="F3:F3">MIN(IF((RAW_Operating_Cost!C$2:C$100="Lunar_Surface")+(RAW_Operating_Cost!C$2:C$100="Lunar_Orbit"),RAW_Operating_Cost!G$2:G$100))</f>
        <v>375000000</v>
      </c>
      <c r="G3" s="19" t="n">
        <f aca="false" t="array" ref="G3:G3">MIN(IF((RAW_Operating_Cost!C$2:C$100="Mars_Surface")+(RAW_Operating_Cost!C$2:C$100="Mars_Orbit"),RAW_Operating_Cost!G$2:G$100))</f>
        <v>1666666666.66667</v>
      </c>
      <c r="H3" s="19" t="n">
        <f aca="false" t="array" ref="H3:H3">MIN(IF(RAW_Operating_Cost!C$2:C$100="LEO",RAW_Operating_Cost!G$2:G$100))</f>
        <v>50000000</v>
      </c>
      <c r="I3" s="19" t="s">
        <v>663</v>
      </c>
      <c r="J3" s="19" t="n">
        <f aca="false">MIN(F3,G3,H3)</f>
        <v>50000000</v>
      </c>
      <c r="K3" s="19" t="n">
        <f aca="false">MAX(F3,G3,H3)</f>
        <v>1666666666.66667</v>
      </c>
      <c r="L3" s="19" t="n">
        <f aca="false">IF(K3=J3,5,IF(I3="TRUE",1+9*(K3-F3)/(K3-J3),1+9*(F3-J3)/(K3-J3)))</f>
        <v>8.19072164948454</v>
      </c>
      <c r="M3" s="19" t="n">
        <f aca="false">IF(K3=J3,5,IF(I3="TRUE",1+9*(K3-G3)/(K3-J3),1+9*(G3-J3)/(K3-J3)))</f>
        <v>1</v>
      </c>
      <c r="N3" s="19" t="n">
        <f aca="false">IF(K3=J3,5,IF(I3="TRUE",1+9*(K3-H3)/(K3-J3),1+9*(H3-J3)/(K3-J3)))</f>
        <v>10</v>
      </c>
    </row>
    <row r="4" customFormat="false" ht="15" hidden="false" customHeight="true" outlineLevel="0" collapsed="false">
      <c r="A4" s="11" t="s">
        <v>930</v>
      </c>
      <c r="B4" s="11" t="s">
        <v>931</v>
      </c>
      <c r="C4" s="11" t="s">
        <v>376</v>
      </c>
      <c r="D4" s="11" t="s">
        <v>478</v>
      </c>
      <c r="E4" s="11" t="s">
        <v>932</v>
      </c>
      <c r="F4" s="19" t="n">
        <f aca="false">MAX(RAW_ECLSS!E$2:E$100)</f>
        <v>98</v>
      </c>
      <c r="G4" s="19" t="n">
        <f aca="false">MAX(RAW_ECLSS!E$2:E$100)</f>
        <v>98</v>
      </c>
      <c r="H4" s="19" t="n">
        <f aca="false">MAX(RAW_ECLSS!E$2:E$100)</f>
        <v>98</v>
      </c>
      <c r="I4" s="19" t="s">
        <v>668</v>
      </c>
      <c r="J4" s="19" t="n">
        <f aca="false">MIN(F4,G4,H4)</f>
        <v>98</v>
      </c>
      <c r="K4" s="19" t="n">
        <f aca="false">MAX(F4,G4,H4)</f>
        <v>98</v>
      </c>
      <c r="L4" s="19" t="n">
        <f aca="false">IF(K4=J4,5,IF(I4="TRUE",1+9*(K4-F4)/(K4-J4),1+9*(F4-J4)/(K4-J4)))</f>
        <v>5</v>
      </c>
      <c r="M4" s="19" t="n">
        <f aca="false">IF(K4=J4,5,IF(I4="TRUE",1+9*(K4-G4)/(K4-J4),1+9*(G4-J4)/(K4-J4)))</f>
        <v>5</v>
      </c>
      <c r="N4" s="19" t="n">
        <f aca="false">IF(K4=J4,5,IF(I4="TRUE",1+9*(K4-H4)/(K4-J4),1+9*(H4-J4)/(K4-J4)))</f>
        <v>5</v>
      </c>
    </row>
    <row r="5" customFormat="false" ht="15" hidden="false" customHeight="true" outlineLevel="0" collapsed="false">
      <c r="A5" s="11" t="s">
        <v>933</v>
      </c>
      <c r="B5" s="11" t="s">
        <v>934</v>
      </c>
      <c r="C5" s="11" t="s">
        <v>376</v>
      </c>
      <c r="D5" s="11" t="s">
        <v>481</v>
      </c>
      <c r="E5" s="11" t="s">
        <v>932</v>
      </c>
      <c r="F5" s="19" t="n">
        <f aca="false">MAX(RAW_ECLSS!F$2:F$100)</f>
        <v>80</v>
      </c>
      <c r="G5" s="19" t="n">
        <f aca="false">MAX(RAW_ECLSS!F$2:F$100)</f>
        <v>80</v>
      </c>
      <c r="H5" s="19" t="n">
        <f aca="false">MAX(RAW_ECLSS!F$2:F$100)</f>
        <v>80</v>
      </c>
      <c r="I5" s="19" t="s">
        <v>668</v>
      </c>
      <c r="J5" s="19" t="n">
        <f aca="false">MIN(F5,G5,H5)</f>
        <v>80</v>
      </c>
      <c r="K5" s="19" t="n">
        <f aca="false">MAX(F5,G5,H5)</f>
        <v>80</v>
      </c>
      <c r="L5" s="19" t="n">
        <f aca="false">IF(K5=J5,5,IF(I5="TRUE",1+9*(K5-F5)/(K5-J5),1+9*(F5-J5)/(K5-J5)))</f>
        <v>5</v>
      </c>
      <c r="M5" s="19" t="n">
        <f aca="false">IF(K5=J5,5,IF(I5="TRUE",1+9*(K5-G5)/(K5-J5),1+9*(G5-J5)/(K5-J5)))</f>
        <v>5</v>
      </c>
      <c r="N5" s="19" t="n">
        <f aca="false">IF(K5=J5,5,IF(I5="TRUE",1+9*(K5-H5)/(K5-J5),1+9*(H5-J5)/(K5-J5)))</f>
        <v>5</v>
      </c>
    </row>
    <row r="6" customFormat="false" ht="15" hidden="false" customHeight="true" outlineLevel="0" collapsed="false">
      <c r="A6" s="11" t="s">
        <v>935</v>
      </c>
      <c r="B6" s="11" t="s">
        <v>936</v>
      </c>
      <c r="C6" s="11" t="s">
        <v>378</v>
      </c>
      <c r="D6" s="11" t="s">
        <v>500</v>
      </c>
      <c r="E6" s="11" t="s">
        <v>937</v>
      </c>
      <c r="F6" s="19" t="n">
        <f aca="false" t="array" ref="F6:F6">MIN(IF(RAW_Radiation!B$2:B$100="Lunar_Surface",RAW_Radiation!E$2:E$100))</f>
        <v>10</v>
      </c>
      <c r="G6" s="19" t="n">
        <f aca="false" t="array" ref="G6:G6">MIN(IF(RAW_Radiation!B$2:B$100="Mars_Surface",RAW_Radiation!E$2:E$100))</f>
        <v>15</v>
      </c>
      <c r="H6" s="19" t="n">
        <f aca="false" t="array" ref="H6:H6">MIN(IF(RAW_Radiation!B$2:B$100="Orbital",RAW_Radiation!E$2:E$100))</f>
        <v>15</v>
      </c>
      <c r="I6" s="19" t="s">
        <v>663</v>
      </c>
      <c r="J6" s="19" t="n">
        <f aca="false">MIN(F6,G6,H6)</f>
        <v>10</v>
      </c>
      <c r="K6" s="19" t="n">
        <f aca="false">MAX(F6,G6,H6)</f>
        <v>15</v>
      </c>
      <c r="L6" s="19" t="n">
        <f aca="false">IF(F6&lt;50,MAX(5,IF(K6=J6,5,IF(I6="TRUE",1+9*(K6-F6)/(K6-J6),1+9*(F6-J6)/(K6-J6)))),IF(K6=J6,5,IF(I6="TRUE",1+9*(K6-F6)/(K6-J6),1+9*(F6-J6)/(K6-J6))))</f>
        <v>10</v>
      </c>
      <c r="M6" s="19" t="n">
        <f aca="false">IF(G6&lt;50,MAX(5,IF(K6=J6,5,IF(I6="TRUE",1+9*(K6-G6)/(K6-J6),1+9*(G6-J6)/(K6-J6)))),IF(K6=J6,5,IF(I6="TRUE",1+9*(K6-G6)/(K6-J6),1+9*(G6-J6)/(K6-J6))))</f>
        <v>5</v>
      </c>
      <c r="N6" s="19" t="n">
        <f aca="false">IF(H6&lt;50,MAX(5,IF(K6=J6,5,IF(I6="TRUE",1+9*(K6-H6)/(K6-J6),1+9*(H6-J6)/(K6-J6)))),IF(K6=J6,5,IF(I6="TRUE",1+9*(K6-H6)/(K6-J6),1+9*(H6-J6)/(K6-J6))))</f>
        <v>5</v>
      </c>
    </row>
    <row r="7" customFormat="false" ht="15" hidden="false" customHeight="true" outlineLevel="0" collapsed="false">
      <c r="A7" s="11" t="s">
        <v>938</v>
      </c>
      <c r="B7" s="11" t="s">
        <v>939</v>
      </c>
      <c r="C7" s="11" t="s">
        <v>380</v>
      </c>
      <c r="D7" s="11" t="s">
        <v>737</v>
      </c>
      <c r="E7" s="11" t="s">
        <v>940</v>
      </c>
      <c r="F7" s="19" t="n">
        <f aca="false">VLOOKUP("Moon",RAW_Gravity!A$2:B$100,2,FALSE())</f>
        <v>0.166</v>
      </c>
      <c r="G7" s="19" t="n">
        <f aca="false">VLOOKUP("Mars",RAW_Gravity!A$2:B$100,2,FALSE())</f>
        <v>0.378</v>
      </c>
      <c r="H7" s="19" t="n">
        <f aca="false">VLOOKUP("O'Neill Cylinder",RAW_Gravity!A$2:B$100,2,FALSE())</f>
        <v>1</v>
      </c>
      <c r="I7" s="19" t="s">
        <v>668</v>
      </c>
      <c r="J7" s="19" t="n">
        <f aca="false">MIN(F7,G7,H7)</f>
        <v>0.166</v>
      </c>
      <c r="K7" s="19" t="n">
        <f aca="false">MAX(F7,G7,H7)</f>
        <v>1</v>
      </c>
      <c r="L7" s="19" t="n">
        <f aca="false">IF(K7=J7,5,IF(I7="TRUE",1+9*(K7-F7)/(K7-J7),1+9*(F7-J7)/(K7-J7)))</f>
        <v>1</v>
      </c>
      <c r="M7" s="19" t="n">
        <f aca="false">IF(K7=J7,5,IF(I7="TRUE",1+9*(K7-G7)/(K7-J7),1+9*(G7-J7)/(K7-J7)))</f>
        <v>3.28776978417266</v>
      </c>
      <c r="N7" s="19" t="n">
        <f aca="false">IF(K7=J7,5,IF(I7="TRUE",1+9*(K7-H7)/(K7-J7),1+9*(H7-J7)/(K7-J7)))</f>
        <v>10</v>
      </c>
    </row>
    <row r="8" customFormat="false" ht="15" hidden="false" customHeight="true" outlineLevel="0" collapsed="false">
      <c r="A8" s="11" t="s">
        <v>941</v>
      </c>
      <c r="B8" s="11" t="s">
        <v>942</v>
      </c>
      <c r="C8" s="11" t="s">
        <v>382</v>
      </c>
      <c r="D8" s="11" t="s">
        <v>777</v>
      </c>
      <c r="E8" s="11" t="s">
        <v>943</v>
      </c>
      <c r="F8" s="19" t="n">
        <f aca="false">VLOOKUP("Lunar_Surface",RAW_Comms_Latency!A$2:D$100,4,FALSE())</f>
        <v>1.3</v>
      </c>
      <c r="G8" s="19" t="n">
        <f aca="false">VLOOKUP("Mars_Surface",RAW_Comms_Latency!A$2:D$100,4,FALSE())</f>
        <v>750</v>
      </c>
      <c r="H8" s="19" t="n">
        <f aca="false">VLOOKUP("LEO",RAW_Comms_Latency!A$2:D$100,4,FALSE())</f>
        <v>0.03</v>
      </c>
      <c r="I8" s="19" t="s">
        <v>663</v>
      </c>
      <c r="J8" s="19" t="n">
        <f aca="false">MIN(F8,G8,H8)</f>
        <v>0.03</v>
      </c>
      <c r="K8" s="19" t="n">
        <f aca="false">MAX(F8,G8,H8)</f>
        <v>750</v>
      </c>
      <c r="L8" s="19" t="n">
        <f aca="false">IF(K8=J8,5,IF(I8="TRUE",1+9*(K8-F8)/(K8-J8),1+9*(F8-J8)/(K8-J8)))</f>
        <v>9.98475939037562</v>
      </c>
      <c r="M8" s="19" t="n">
        <f aca="false">IF(K8=J8,5,IF(I8="TRUE",1+9*(K8-G8)/(K8-J8),1+9*(G8-J8)/(K8-J8)))</f>
        <v>1</v>
      </c>
      <c r="N8" s="19" t="n">
        <f aca="false">IF(K8=J8,5,IF(I8="TRUE",1+9*(K8-H8)/(K8-J8),1+9*(H8-J8)/(K8-J8)))</f>
        <v>10</v>
      </c>
    </row>
    <row r="9" customFormat="false" ht="15" hidden="false" customHeight="true" outlineLevel="0" collapsed="false">
      <c r="A9" s="11" t="s">
        <v>944</v>
      </c>
      <c r="B9" s="11" t="s">
        <v>945</v>
      </c>
      <c r="C9" s="11" t="s">
        <v>384</v>
      </c>
      <c r="D9" s="11" t="s">
        <v>792</v>
      </c>
      <c r="E9" s="11" t="s">
        <v>946</v>
      </c>
      <c r="F9" s="19" t="n">
        <f aca="false">SUMPRODUCT((RAW_ISRU!B$2:B$100="Lunar_Surface")*IFERROR(RAW_ISRU!D$2:D$100,0))</f>
        <v>66.001</v>
      </c>
      <c r="G9" s="19" t="n">
        <f aca="false">SUMPRODUCT((RAW_ISRU!B$2:B$100="Mars_Surface")*IFERROR(RAW_ISRU!D$2:D$100,0))</f>
        <v>27.012</v>
      </c>
      <c r="H9" s="19" t="n">
        <f aca="false">SUMPRODUCT((RAW_ISRU!B$2:B$100="Orbital")*IFERROR(RAW_ISRU!D$2:D$100,0))</f>
        <v>0</v>
      </c>
      <c r="I9" s="19" t="s">
        <v>668</v>
      </c>
      <c r="J9" s="19" t="n">
        <f aca="false">MIN(F9,G9,H9)</f>
        <v>0</v>
      </c>
      <c r="K9" s="19" t="n">
        <f aca="false">MAX(F9,G9,H9)</f>
        <v>66.001</v>
      </c>
      <c r="L9" s="19" t="n">
        <f aca="false">IF(K9=J9,5,IF(I9="TRUE",1+9*(K9-F9)/(K9-J9),1+9*(F9-J9)/(K9-J9)))</f>
        <v>10</v>
      </c>
      <c r="M9" s="19" t="n">
        <f aca="false">IF(K9=J9,5,IF(I9="TRUE",1+9*(K9-G9)/(K9-J9),1+9*(G9-J9)/(K9-J9)))</f>
        <v>4.68339873638278</v>
      </c>
      <c r="N9" s="19" t="n">
        <f aca="false">IF(K9=J9,5,IF(I9="TRUE",1+9*(K9-H9)/(K9-J9),1+9*(H9-J9)/(K9-J9)))</f>
        <v>1</v>
      </c>
    </row>
    <row r="10" customFormat="false" ht="15" hidden="false" customHeight="true" outlineLevel="0" collapsed="false">
      <c r="A10" s="11" t="s">
        <v>947</v>
      </c>
      <c r="B10" s="11" t="s">
        <v>948</v>
      </c>
      <c r="C10" s="11" t="s">
        <v>386</v>
      </c>
      <c r="D10" s="11" t="s">
        <v>818</v>
      </c>
      <c r="E10" s="11" t="s">
        <v>949</v>
      </c>
      <c r="F10" s="19" t="n">
        <f aca="false">SUMPRODUCT(MAX(ISNUMBER(SEARCH("Lunar_Surface",RAW_Energy!G$2:G$100))*RAW_Energy!F$2:F$100))</f>
        <v>10</v>
      </c>
      <c r="G10" s="19" t="n">
        <f aca="false">SUMPRODUCT(MAX(ISNUMBER(SEARCH("Mars_Surface",RAW_Energy!G$2:G$100))*RAW_Energy!F$2:F$100))</f>
        <v>50</v>
      </c>
      <c r="H10" s="19" t="n">
        <f aca="false">SUMPRODUCT(MAX((ISNUMBER(SEARCH("Orbital",RAW_Energy!G$2:G$100))+ISNUMBER(SEARCH("LEO",RAW_Energy!G$2:G$100)))*RAW_Energy!F$2:F$100))</f>
        <v>100</v>
      </c>
      <c r="I10" s="19" t="s">
        <v>668</v>
      </c>
      <c r="J10" s="19" t="n">
        <f aca="false">MIN(F10,G10,H10)</f>
        <v>10</v>
      </c>
      <c r="K10" s="19" t="n">
        <f aca="false">MAX(F10,G10,H10)</f>
        <v>100</v>
      </c>
      <c r="L10" s="19" t="n">
        <f aca="false">IF(K10=J10,5,IF(I10="TRUE",1+9*(K10-F10)/(K10-J10),1+9*(F10-J10)/(K10-J10)))</f>
        <v>1</v>
      </c>
      <c r="M10" s="19" t="n">
        <f aca="false">IF(K10=J10,5,IF(I10="TRUE",1+9*(K10-G10)/(K10-J10),1+9*(G10-J10)/(K10-J10)))</f>
        <v>5</v>
      </c>
      <c r="N10" s="19" t="n">
        <f aca="false">IF(K10=J10,5,IF(I10="TRUE",1+9*(K10-H10)/(K10-J10),1+9*(H10-J10)/(K10-J10)))</f>
        <v>10</v>
      </c>
    </row>
    <row r="11" customFormat="false" ht="15" hidden="false" customHeight="true" outlineLevel="0" collapsed="false">
      <c r="A11" s="11" t="s">
        <v>950</v>
      </c>
      <c r="B11" s="11" t="s">
        <v>951</v>
      </c>
      <c r="C11" s="11" t="s">
        <v>388</v>
      </c>
      <c r="D11" s="11" t="s">
        <v>850</v>
      </c>
      <c r="E11" s="11" t="s">
        <v>952</v>
      </c>
      <c r="F11" s="19" t="n">
        <f aca="false" t="array" ref="F11:F11">MAX(IF((RAW_Failure_Cost!B$2:B$100="Lunar_Surface")+(RAW_Failure_Cost!B$2:B$100="Lunar_Orbit"),RAW_Failure_Cost!F$2:F$100))</f>
        <v>300000000</v>
      </c>
      <c r="G11" s="19" t="n">
        <f aca="false" t="array" ref="G11:G11">MAX(IF((RAW_Failure_Cost!B$2:B$100="Mars_Surface")+(RAW_Failure_Cost!B$2:B$100="Mars_Transit"),RAW_Failure_Cost!F$2:F$100))</f>
        <v>3750000000</v>
      </c>
      <c r="H11" s="19" t="n">
        <f aca="false" t="array" ref="H11:H11">MAX(IF((RAW_Failure_Cost!B$2:B$100="LEO")+(RAW_Failure_Cost!B$2:B$100="Orbital"),RAW_Failure_Cost!F$2:F$100))</f>
        <v>300000000</v>
      </c>
      <c r="I11" s="19" t="s">
        <v>663</v>
      </c>
      <c r="J11" s="19" t="n">
        <f aca="false">MIN(F11,G11,H11)</f>
        <v>300000000</v>
      </c>
      <c r="K11" s="19" t="n">
        <f aca="false">MAX(F11,G11,H11)</f>
        <v>3750000000</v>
      </c>
      <c r="L11" s="19" t="n">
        <f aca="false">IF(K11=J11,5,IF(I11="TRUE",1+9*(K11-F11)/(K11-J11),1+9*(F11-J11)/(K11-J11)))</f>
        <v>10</v>
      </c>
      <c r="M11" s="19" t="n">
        <f aca="false">IF(K11=J11,5,IF(I11="TRUE",1+9*(K11-G11)/(K11-J11),1+9*(G11-J11)/(K11-J11)))</f>
        <v>1</v>
      </c>
      <c r="N11" s="19" t="n">
        <f aca="false">IF(K11=J11,5,IF(I11="TRUE",1+9*(K11-H11)/(K11-J11),1+9*(H11-J11)/(K11-J11)))</f>
        <v>10</v>
      </c>
    </row>
    <row r="12" customFormat="false" ht="15" hidden="false" customHeight="true" outlineLevel="0" collapsed="false">
      <c r="A12" s="11" t="s">
        <v>953</v>
      </c>
      <c r="B12" s="11" t="s">
        <v>954</v>
      </c>
      <c r="C12" s="11" t="s">
        <v>390</v>
      </c>
      <c r="D12" s="11" t="s">
        <v>880</v>
      </c>
      <c r="E12" s="11" t="s">
        <v>955</v>
      </c>
      <c r="F12" s="19" t="n">
        <f aca="false">SUMPRODUCT((RAW_Revenue!B$2:B$100="Lunar_Surface")*(RAW_Revenue!E$2:E$100="Baseline")*IFERROR(RAW_Revenue!C$2:C$100,0))</f>
        <v>0</v>
      </c>
      <c r="G12" s="19" t="n">
        <f aca="false">SUMPRODUCT((RAW_Revenue!B$2:B$100="Mars_Surface")*(RAW_Revenue!E$2:E$100="Baseline")*IFERROR(RAW_Revenue!C$2:C$100,0))</f>
        <v>0</v>
      </c>
      <c r="H12" s="19" t="n">
        <f aca="false">SUMPRODUCT(((RAW_Revenue!B$2:B$100="LEO")+(RAW_Revenue!B$2:B$100="Orbital"))*(RAW_Revenue!E$2:E$100="Baseline")*IFERROR(RAW_Revenue!C$2:C$100,0))</f>
        <v>8300000000</v>
      </c>
      <c r="I12" s="19" t="s">
        <v>668</v>
      </c>
      <c r="J12" s="19" t="n">
        <f aca="false">MIN(F12,G12,H12)</f>
        <v>0</v>
      </c>
      <c r="K12" s="19" t="n">
        <f aca="false">MAX(F12,G12,H12)</f>
        <v>8300000000</v>
      </c>
      <c r="L12" s="19" t="n">
        <f aca="false">IF(K12=J12,5,IF(I12="TRUE",1+9*(K12-F12)/(K12-J12),1+9*(F12-J12)/(K12-J12)))</f>
        <v>1</v>
      </c>
      <c r="M12" s="19" t="n">
        <f aca="false">IF(K12=J12,5,IF(I12="TRUE",1+9*(K12-G12)/(K12-J12),1+9*(G12-J12)/(K12-J12)))</f>
        <v>1</v>
      </c>
      <c r="N12" s="19" t="n">
        <f aca="false">IF(K12=J12,5,IF(I12="TRUE",1+9*(K12-H12)/(K12-J12),1+9*(H12-J12)/(K12-J12)))</f>
        <v>10</v>
      </c>
    </row>
    <row r="13" customFormat="false" ht="15" hidden="false" customHeight="true" outlineLevel="0" collapsed="false">
      <c r="A13" s="1" t="s">
        <v>956</v>
      </c>
      <c r="B13" s="1" t="s">
        <v>957</v>
      </c>
      <c r="C13" s="1" t="s">
        <v>390</v>
      </c>
      <c r="D13" s="1" t="s">
        <v>880</v>
      </c>
      <c r="E13" s="1" t="s">
        <v>958</v>
      </c>
      <c r="F13" s="1" t="n">
        <f aca="false">SUMPRODUCT((RAW_Revenue!B$2:B$100="Lunar_Surface")*(RAW_Revenue!E$2:E$100="Upside")*IFERROR(RAW_Revenue!C$2:C$100,0))</f>
        <v>15000000000</v>
      </c>
      <c r="G13" s="1" t="n">
        <f aca="false">SUMPRODUCT((RAW_Revenue!B$2:B$100="Mars_Surface")*(RAW_Revenue!E$2:E$100="Upside")*IFERROR(RAW_Revenue!C$2:C$100,0))</f>
        <v>2000000000</v>
      </c>
      <c r="H13" s="1" t="n">
        <f aca="false">SUMPRODUCT(((RAW_Revenue!B$2:B$100="LEO")+(RAW_Revenue!B$2:B$100="Orbital"))*(RAW_Revenue!E$2:E$100="Upside")*IFERROR(RAW_Revenue!C$2:C$100,0))</f>
        <v>0</v>
      </c>
      <c r="I13" s="1" t="s">
        <v>668</v>
      </c>
    </row>
    <row r="14" customFormat="false" ht="15" hidden="false" customHeight="true" outlineLevel="0" collapsed="false">
      <c r="A14" s="20" t="s">
        <v>959</v>
      </c>
    </row>
    <row r="15" customFormat="false" ht="15" hidden="false" customHeight="true" outlineLevel="0" collapsed="false">
      <c r="A15" s="21" t="s">
        <v>959</v>
      </c>
    </row>
    <row r="16" customFormat="false" ht="15" hidden="false" customHeight="true" outlineLevel="0" collapsed="false">
      <c r="A16" s="21" t="s">
        <v>960</v>
      </c>
    </row>
    <row r="17" customFormat="false" ht="15" hidden="false" customHeight="true" outlineLevel="0" collapsed="false">
      <c r="A17" s="21" t="s">
        <v>961</v>
      </c>
    </row>
    <row r="18" customFormat="false" ht="15" hidden="false" customHeight="true" outlineLevel="0" collapsed="false">
      <c r="A18" s="21" t="s">
        <v>962</v>
      </c>
    </row>
    <row r="19" customFormat="false" ht="15" hidden="false" customHeight="true" outlineLevel="0" collapsed="false">
      <c r="A19" s="21" t="s">
        <v>963</v>
      </c>
    </row>
    <row r="20" customFormat="false" ht="15" hidden="false" customHeight="true" outlineLevel="0" collapsed="false">
      <c r="A20" s="1" t="s">
        <v>964</v>
      </c>
    </row>
    <row r="21" customFormat="false" ht="15" hidden="false" customHeight="true" outlineLevel="0" collapsed="false">
      <c r="A21" s="1" t="s">
        <v>965</v>
      </c>
    </row>
    <row r="22" customFormat="false" ht="15" hidden="false" customHeight="true" outlineLevel="0" collapsed="false">
      <c r="A22" s="1" t="s">
        <v>966</v>
      </c>
    </row>
    <row r="23" customFormat="false" ht="15" hidden="false" customHeight="true" outlineLevel="0" collapsed="false">
      <c r="A23" s="1" t="s">
        <v>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 style="1" width="18"/>
  </cols>
  <sheetData>
    <row r="1" customFormat="false" ht="23.25" hidden="false" customHeight="true" outlineLevel="0" collapsed="false">
      <c r="A1" s="2" t="s">
        <v>0</v>
      </c>
      <c r="B1" s="2" t="s">
        <v>968</v>
      </c>
      <c r="C1" s="2" t="s">
        <v>1</v>
      </c>
      <c r="D1" s="2" t="s">
        <v>969</v>
      </c>
      <c r="E1" s="2" t="s">
        <v>3</v>
      </c>
      <c r="F1" s="2" t="s">
        <v>970</v>
      </c>
      <c r="G1" s="2" t="s">
        <v>971</v>
      </c>
      <c r="H1" s="2" t="s">
        <v>972</v>
      </c>
      <c r="I1" s="2" t="s">
        <v>973</v>
      </c>
      <c r="J1" s="2" t="s">
        <v>974</v>
      </c>
      <c r="K1" s="2" t="s">
        <v>975</v>
      </c>
      <c r="L1" s="2" t="s">
        <v>976</v>
      </c>
      <c r="M1" s="2" t="s">
        <v>977</v>
      </c>
    </row>
    <row r="2" customFormat="false" ht="15" hidden="false" customHeight="true" outlineLevel="0" collapsed="false">
      <c r="A2" s="3" t="s">
        <v>16</v>
      </c>
      <c r="B2" s="3" t="s">
        <v>978</v>
      </c>
      <c r="C2" s="3" t="n">
        <v>1</v>
      </c>
      <c r="D2" s="3" t="s">
        <v>979</v>
      </c>
      <c r="E2" s="22" t="n">
        <v>10</v>
      </c>
      <c r="F2" s="23" t="n">
        <f aca="false">IFERROR(NORM_ENGINE!L7,"")</f>
        <v>1</v>
      </c>
      <c r="G2" s="23" t="n">
        <f aca="false">IFERROR(NORM_ENGINE!M7,"")</f>
        <v>3.28776978417266</v>
      </c>
      <c r="H2" s="23" t="n">
        <f aca="false">IFERROR(NORM_ENGINE!N7,"")</f>
        <v>10</v>
      </c>
      <c r="I2" s="24" t="n">
        <f aca="false">IFERROR(E2*F2,0)</f>
        <v>10</v>
      </c>
      <c r="J2" s="24" t="n">
        <f aca="false">IFERROR(E2*G2,0)</f>
        <v>32.8776978417266</v>
      </c>
      <c r="K2" s="24" t="n">
        <f aca="false">IFERROR(E2*H2,0)</f>
        <v>100</v>
      </c>
      <c r="L2" s="3" t="s">
        <v>980</v>
      </c>
      <c r="M2" s="3" t="s">
        <v>981</v>
      </c>
    </row>
    <row r="3" customFormat="false" ht="15" hidden="false" customHeight="true" outlineLevel="0" collapsed="false">
      <c r="A3" s="3" t="s">
        <v>48</v>
      </c>
      <c r="B3" s="3" t="s">
        <v>982</v>
      </c>
      <c r="C3" s="3" t="n">
        <v>1</v>
      </c>
      <c r="D3" s="3" t="s">
        <v>979</v>
      </c>
      <c r="E3" s="22" t="n">
        <v>9</v>
      </c>
      <c r="F3" s="23" t="n">
        <f aca="false">IFERROR(NORM_ENGINE!L6,"")</f>
        <v>10</v>
      </c>
      <c r="G3" s="23" t="n">
        <f aca="false">IFERROR(NORM_ENGINE!M6,"")</f>
        <v>5</v>
      </c>
      <c r="H3" s="23" t="n">
        <f aca="false">IFERROR(NORM_ENGINE!N6,"")</f>
        <v>5</v>
      </c>
      <c r="I3" s="24" t="n">
        <f aca="false">IFERROR(E3*F3,0)</f>
        <v>90</v>
      </c>
      <c r="J3" s="24" t="n">
        <f aca="false">IFERROR(E3*G3,0)</f>
        <v>45</v>
      </c>
      <c r="K3" s="24" t="n">
        <f aca="false">IFERROR(E3*H3,0)</f>
        <v>45</v>
      </c>
      <c r="L3" s="3" t="s">
        <v>983</v>
      </c>
      <c r="M3" s="3" t="s">
        <v>984</v>
      </c>
    </row>
    <row r="4" customFormat="false" ht="15" hidden="false" customHeight="true" outlineLevel="0" collapsed="false">
      <c r="A4" s="3" t="s">
        <v>77</v>
      </c>
      <c r="B4" s="3" t="s">
        <v>985</v>
      </c>
      <c r="C4" s="3" t="n">
        <v>1</v>
      </c>
      <c r="D4" s="3" t="s">
        <v>979</v>
      </c>
      <c r="E4" s="22" t="n">
        <v>9</v>
      </c>
      <c r="F4" s="23" t="n">
        <f aca="false">IFERROR(NORM_ENGINE!L4,"")</f>
        <v>5</v>
      </c>
      <c r="G4" s="23" t="n">
        <f aca="false">IFERROR(NORM_ENGINE!M4,"")</f>
        <v>5</v>
      </c>
      <c r="H4" s="23" t="n">
        <f aca="false">IFERROR(NORM_ENGINE!N4,"")</f>
        <v>5</v>
      </c>
      <c r="I4" s="24" t="n">
        <f aca="false">IFERROR(E4*F4,0)</f>
        <v>45</v>
      </c>
      <c r="J4" s="24" t="n">
        <f aca="false">IFERROR(E4*G4,0)</f>
        <v>45</v>
      </c>
      <c r="K4" s="24" t="n">
        <f aca="false">IFERROR(E4*H4,0)</f>
        <v>45</v>
      </c>
      <c r="L4" s="3" t="s">
        <v>986</v>
      </c>
      <c r="M4" s="3" t="s">
        <v>987</v>
      </c>
    </row>
    <row r="5" customFormat="false" ht="15" hidden="false" customHeight="true" outlineLevel="0" collapsed="false">
      <c r="A5" s="3" t="s">
        <v>98</v>
      </c>
      <c r="B5" s="3" t="s">
        <v>985</v>
      </c>
      <c r="C5" s="3" t="n">
        <v>1</v>
      </c>
      <c r="D5" s="3" t="s">
        <v>979</v>
      </c>
      <c r="E5" s="22" t="n">
        <v>9</v>
      </c>
      <c r="F5" s="23" t="n">
        <f aca="false">IFERROR(NORM_ENGINE!L5,"")</f>
        <v>5</v>
      </c>
      <c r="G5" s="23" t="n">
        <f aca="false">IFERROR(NORM_ENGINE!M5,"")</f>
        <v>5</v>
      </c>
      <c r="H5" s="23" t="n">
        <f aca="false">IFERROR(NORM_ENGINE!N5,"")</f>
        <v>5</v>
      </c>
      <c r="I5" s="24" t="n">
        <f aca="false">IFERROR(E5*F5,0)</f>
        <v>45</v>
      </c>
      <c r="J5" s="24" t="n">
        <f aca="false">IFERROR(E5*G5,0)</f>
        <v>45</v>
      </c>
      <c r="K5" s="24" t="n">
        <f aca="false">IFERROR(E5*H5,0)</f>
        <v>45</v>
      </c>
      <c r="L5" s="3" t="s">
        <v>988</v>
      </c>
      <c r="M5" s="3" t="s">
        <v>989</v>
      </c>
    </row>
    <row r="6" customFormat="false" ht="15" hidden="false" customHeight="true" outlineLevel="0" collapsed="false">
      <c r="A6" s="3" t="s">
        <v>119</v>
      </c>
      <c r="B6" s="3" t="s">
        <v>990</v>
      </c>
      <c r="C6" s="3" t="n">
        <v>2</v>
      </c>
      <c r="D6" s="3" t="s">
        <v>979</v>
      </c>
      <c r="E6" s="22" t="n">
        <v>8</v>
      </c>
      <c r="F6" s="3" t="n">
        <f aca="false">IFERROR((NORM_ENGINE!L8+NORM_ENGINE!L11)/2,"")</f>
        <v>9.99237969518781</v>
      </c>
      <c r="G6" s="3" t="n">
        <f aca="false">IFERROR((NORM_ENGINE!M8+NORM_ENGINE!M11)/2,"")</f>
        <v>1</v>
      </c>
      <c r="H6" s="3" t="n">
        <f aca="false">IFERROR((NORM_ENGINE!N8+NORM_ENGINE!N11)/2,"")</f>
        <v>10</v>
      </c>
      <c r="I6" s="24" t="n">
        <f aca="false">IFERROR(E6*F6,0)</f>
        <v>79.9390375615025</v>
      </c>
      <c r="J6" s="24" t="n">
        <f aca="false">IFERROR(E6*G6,0)</f>
        <v>8</v>
      </c>
      <c r="K6" s="24" t="n">
        <f aca="false">IFERROR(E6*H6,0)</f>
        <v>80</v>
      </c>
      <c r="L6" s="3" t="s">
        <v>991</v>
      </c>
      <c r="M6" s="3" t="s">
        <v>992</v>
      </c>
    </row>
    <row r="7" customFormat="false" ht="15" hidden="false" customHeight="true" outlineLevel="0" collapsed="false">
      <c r="A7" s="3" t="s">
        <v>136</v>
      </c>
      <c r="B7" s="3" t="s">
        <v>990</v>
      </c>
      <c r="C7" s="3" t="n">
        <v>2</v>
      </c>
      <c r="D7" s="3" t="s">
        <v>979</v>
      </c>
      <c r="E7" s="22" t="n">
        <v>8</v>
      </c>
      <c r="F7" s="3" t="n">
        <f aca="false">IFERROR((NORM_ENGINE!L2+NORM_ENGINE!L9)/2,"")</f>
        <v>8</v>
      </c>
      <c r="G7" s="3" t="n">
        <f aca="false">IFERROR((NORM_ENGINE!M2+NORM_ENGINE!M9)/2,"")</f>
        <v>2.84169936819139</v>
      </c>
      <c r="H7" s="3" t="n">
        <f aca="false">IFERROR((NORM_ENGINE!N2+NORM_ENGINE!N9)/2,"")</f>
        <v>5.5</v>
      </c>
      <c r="I7" s="24" t="n">
        <f aca="false">IFERROR(E7*F7,0)</f>
        <v>64</v>
      </c>
      <c r="J7" s="24" t="n">
        <f aca="false">IFERROR(E7*G7,0)</f>
        <v>22.7335949455311</v>
      </c>
      <c r="K7" s="24" t="n">
        <f aca="false">IFERROR(E7*H7,0)</f>
        <v>44</v>
      </c>
      <c r="L7" s="3" t="s">
        <v>993</v>
      </c>
      <c r="M7" s="3" t="s">
        <v>994</v>
      </c>
    </row>
    <row r="8" customFormat="false" ht="15" hidden="false" customHeight="true" outlineLevel="0" collapsed="false">
      <c r="A8" s="3" t="s">
        <v>148</v>
      </c>
      <c r="B8" s="3" t="s">
        <v>990</v>
      </c>
      <c r="C8" s="3" t="n">
        <v>2</v>
      </c>
      <c r="D8" s="3" t="s">
        <v>979</v>
      </c>
      <c r="E8" s="22" t="n">
        <v>5</v>
      </c>
      <c r="F8" s="23" t="n">
        <f aca="false">IFERROR(NORM_ENGINE!L8,"")</f>
        <v>9.98475939037562</v>
      </c>
      <c r="G8" s="23" t="n">
        <f aca="false">IFERROR(NORM_ENGINE!M8,"")</f>
        <v>1</v>
      </c>
      <c r="H8" s="23" t="n">
        <f aca="false">IFERROR(NORM_ENGINE!N8,"")</f>
        <v>10</v>
      </c>
      <c r="I8" s="24" t="n">
        <f aca="false">IFERROR(E8*F8,0)</f>
        <v>49.9237969518781</v>
      </c>
      <c r="J8" s="24" t="n">
        <f aca="false">IFERROR(E8*G8,0)</f>
        <v>5</v>
      </c>
      <c r="K8" s="24" t="n">
        <f aca="false">IFERROR(E8*H8,0)</f>
        <v>50</v>
      </c>
      <c r="L8" s="3" t="s">
        <v>995</v>
      </c>
      <c r="M8" s="3" t="s">
        <v>996</v>
      </c>
    </row>
    <row r="9" customFormat="false" ht="15" hidden="false" customHeight="true" outlineLevel="0" collapsed="false">
      <c r="A9" s="3" t="s">
        <v>161</v>
      </c>
      <c r="B9" s="3" t="s">
        <v>997</v>
      </c>
      <c r="C9" s="3" t="n">
        <v>2</v>
      </c>
      <c r="D9" s="3" t="s">
        <v>998</v>
      </c>
      <c r="E9" s="22" t="n">
        <v>6</v>
      </c>
      <c r="F9" s="3" t="n">
        <f aca="false">IFERROR(QUAL_JUSTIFICATIONS!B2,"")</f>
        <v>7</v>
      </c>
      <c r="G9" s="3" t="n">
        <f aca="false">IFERROR(QUAL_JUSTIFICATIONS!E2,"")</f>
        <v>3</v>
      </c>
      <c r="H9" s="3" t="n">
        <f aca="false">IFERROR(QUAL_JUSTIFICATIONS!H2,"")</f>
        <v>6</v>
      </c>
      <c r="I9" s="24" t="n">
        <f aca="false">IFERROR(E9*F9,0)</f>
        <v>42</v>
      </c>
      <c r="J9" s="24" t="n">
        <f aca="false">IFERROR(E9*G9,0)</f>
        <v>18</v>
      </c>
      <c r="K9" s="24" t="n">
        <f aca="false">IFERROR(E9*H9,0)</f>
        <v>36</v>
      </c>
      <c r="L9" s="3" t="s">
        <v>398</v>
      </c>
      <c r="M9" s="3" t="s">
        <v>999</v>
      </c>
    </row>
    <row r="10" customFormat="false" ht="15" hidden="false" customHeight="true" outlineLevel="0" collapsed="false">
      <c r="A10" s="3" t="s">
        <v>171</v>
      </c>
      <c r="B10" s="3" t="s">
        <v>150</v>
      </c>
      <c r="C10" s="3" t="n">
        <v>3</v>
      </c>
      <c r="D10" s="3" t="s">
        <v>979</v>
      </c>
      <c r="E10" s="22" t="n">
        <v>7</v>
      </c>
      <c r="F10" s="23" t="n">
        <f aca="false">IFERROR(NORM_ENGINE!L9,"")</f>
        <v>10</v>
      </c>
      <c r="G10" s="23" t="n">
        <f aca="false">IFERROR(NORM_ENGINE!M9,"")</f>
        <v>4.68339873638278</v>
      </c>
      <c r="H10" s="23" t="n">
        <f aca="false">IFERROR(NORM_ENGINE!N9,"")</f>
        <v>1</v>
      </c>
      <c r="I10" s="24" t="n">
        <f aca="false">IFERROR(E10*F10,0)</f>
        <v>70</v>
      </c>
      <c r="J10" s="24" t="n">
        <f aca="false">IFERROR(E10*G10,0)</f>
        <v>32.7837911546795</v>
      </c>
      <c r="K10" s="24" t="n">
        <f aca="false">IFERROR(E10*H10,0)</f>
        <v>7</v>
      </c>
      <c r="L10" s="3" t="s">
        <v>1000</v>
      </c>
      <c r="M10" s="3" t="s">
        <v>1001</v>
      </c>
    </row>
    <row r="11" customFormat="false" ht="15" hidden="false" customHeight="true" outlineLevel="0" collapsed="false">
      <c r="A11" s="3" t="s">
        <v>194</v>
      </c>
      <c r="B11" s="3" t="s">
        <v>150</v>
      </c>
      <c r="C11" s="3" t="n">
        <v>3</v>
      </c>
      <c r="D11" s="3" t="s">
        <v>979</v>
      </c>
      <c r="E11" s="22" t="n">
        <v>7</v>
      </c>
      <c r="F11" s="23" t="n">
        <f aca="false">IFERROR(NORM_ENGINE!L10,"")</f>
        <v>1</v>
      </c>
      <c r="G11" s="23" t="n">
        <f aca="false">IFERROR(NORM_ENGINE!M10,"")</f>
        <v>5</v>
      </c>
      <c r="H11" s="23" t="n">
        <f aca="false">IFERROR(NORM_ENGINE!N10,"")</f>
        <v>10</v>
      </c>
      <c r="I11" s="24" t="n">
        <f aca="false">IFERROR(E11*F11,0)</f>
        <v>7</v>
      </c>
      <c r="J11" s="24" t="n">
        <f aca="false">IFERROR(E11*G11,0)</f>
        <v>35</v>
      </c>
      <c r="K11" s="24" t="n">
        <f aca="false">IFERROR(E11*H11,0)</f>
        <v>70</v>
      </c>
      <c r="L11" s="3" t="s">
        <v>1002</v>
      </c>
      <c r="M11" s="3" t="s">
        <v>1003</v>
      </c>
    </row>
    <row r="12" customFormat="false" ht="15" hidden="false" customHeight="true" outlineLevel="0" collapsed="false">
      <c r="A12" s="3" t="s">
        <v>218</v>
      </c>
      <c r="B12" s="3" t="s">
        <v>1004</v>
      </c>
      <c r="C12" s="3" t="n">
        <v>3</v>
      </c>
      <c r="D12" s="3" t="s">
        <v>979</v>
      </c>
      <c r="E12" s="22" t="n">
        <v>8</v>
      </c>
      <c r="F12" s="23" t="n">
        <f aca="false">IFERROR(NORM_ENGINE!L2,"")</f>
        <v>6</v>
      </c>
      <c r="G12" s="23" t="n">
        <f aca="false">IFERROR(NORM_ENGINE!M2,"")</f>
        <v>1</v>
      </c>
      <c r="H12" s="23" t="n">
        <f aca="false">IFERROR(NORM_ENGINE!N2,"")</f>
        <v>10</v>
      </c>
      <c r="I12" s="24" t="n">
        <f aca="false">IFERROR(E12*F12,0)</f>
        <v>48</v>
      </c>
      <c r="J12" s="24" t="n">
        <f aca="false">IFERROR(E12*G12,0)</f>
        <v>8</v>
      </c>
      <c r="K12" s="24" t="n">
        <f aca="false">IFERROR(E12*H12,0)</f>
        <v>80</v>
      </c>
      <c r="L12" s="3" t="s">
        <v>1005</v>
      </c>
      <c r="M12" s="3" t="s">
        <v>1006</v>
      </c>
    </row>
    <row r="13" customFormat="false" ht="15" hidden="false" customHeight="true" outlineLevel="0" collapsed="false">
      <c r="A13" s="3" t="s">
        <v>256</v>
      </c>
      <c r="B13" s="3" t="s">
        <v>1004</v>
      </c>
      <c r="C13" s="3" t="n">
        <v>3</v>
      </c>
      <c r="D13" s="3" t="s">
        <v>979</v>
      </c>
      <c r="E13" s="22" t="n">
        <v>7</v>
      </c>
      <c r="F13" s="23" t="n">
        <f aca="false">IFERROR(NORM_ENGINE!L3,"")</f>
        <v>8.19072164948454</v>
      </c>
      <c r="G13" s="23" t="n">
        <f aca="false">IFERROR(NORM_ENGINE!M3,"")</f>
        <v>1</v>
      </c>
      <c r="H13" s="23" t="n">
        <f aca="false">IFERROR(NORM_ENGINE!N3,"")</f>
        <v>10</v>
      </c>
      <c r="I13" s="24" t="n">
        <f aca="false">IFERROR(E13*F13,0)</f>
        <v>57.3350515463917</v>
      </c>
      <c r="J13" s="24" t="n">
        <f aca="false">IFERROR(E13*G13,0)</f>
        <v>7</v>
      </c>
      <c r="K13" s="24" t="n">
        <f aca="false">IFERROR(E13*H13,0)</f>
        <v>70</v>
      </c>
      <c r="L13" s="3" t="s">
        <v>1007</v>
      </c>
      <c r="M13" s="3" t="s">
        <v>1008</v>
      </c>
    </row>
    <row r="14" customFormat="false" ht="15" hidden="false" customHeight="true" outlineLevel="0" collapsed="false">
      <c r="A14" s="3" t="s">
        <v>275</v>
      </c>
      <c r="B14" s="3" t="s">
        <v>1004</v>
      </c>
      <c r="C14" s="3" t="n">
        <v>3</v>
      </c>
      <c r="D14" s="3" t="s">
        <v>979</v>
      </c>
      <c r="E14" s="22" t="n">
        <v>7</v>
      </c>
      <c r="F14" s="23" t="n">
        <f aca="false">IFERROR(NORM_ENGINE!L11,"")</f>
        <v>10</v>
      </c>
      <c r="G14" s="23" t="n">
        <f aca="false">IFERROR(NORM_ENGINE!M11,"")</f>
        <v>1</v>
      </c>
      <c r="H14" s="23" t="n">
        <f aca="false">IFERROR(NORM_ENGINE!N11,"")</f>
        <v>10</v>
      </c>
      <c r="I14" s="24" t="n">
        <f aca="false">IFERROR(E14*F14,0)</f>
        <v>70</v>
      </c>
      <c r="J14" s="24" t="n">
        <f aca="false">IFERROR(E14*G14,0)</f>
        <v>7</v>
      </c>
      <c r="K14" s="24" t="n">
        <f aca="false">IFERROR(E14*H14,0)</f>
        <v>70</v>
      </c>
      <c r="L14" s="3" t="s">
        <v>1009</v>
      </c>
      <c r="M14" s="3" t="s">
        <v>1010</v>
      </c>
    </row>
    <row r="15" customFormat="false" ht="15" hidden="false" customHeight="true" outlineLevel="0" collapsed="false">
      <c r="A15" s="3" t="s">
        <v>311</v>
      </c>
      <c r="B15" s="3" t="s">
        <v>1004</v>
      </c>
      <c r="C15" s="3" t="n">
        <v>4</v>
      </c>
      <c r="D15" s="3" t="s">
        <v>979</v>
      </c>
      <c r="E15" s="22" t="n">
        <v>7</v>
      </c>
      <c r="F15" s="23" t="n">
        <f aca="false">IFERROR(NORM_ENGINE!L12,"")</f>
        <v>1</v>
      </c>
      <c r="G15" s="23" t="n">
        <f aca="false">IFERROR(NORM_ENGINE!M12,"")</f>
        <v>1</v>
      </c>
      <c r="H15" s="23" t="n">
        <f aca="false">IFERROR(NORM_ENGINE!N12,"")</f>
        <v>10</v>
      </c>
      <c r="I15" s="24" t="n">
        <f aca="false">IFERROR(E15*F15,0)</f>
        <v>7</v>
      </c>
      <c r="J15" s="24" t="n">
        <f aca="false">IFERROR(E15*G15,0)</f>
        <v>7</v>
      </c>
      <c r="K15" s="24" t="n">
        <f aca="false">IFERROR(E15*H15,0)</f>
        <v>70</v>
      </c>
      <c r="L15" s="3" t="s">
        <v>1011</v>
      </c>
      <c r="M15" s="3" t="s">
        <v>1012</v>
      </c>
    </row>
    <row r="16" customFormat="false" ht="15" hidden="false" customHeight="true" outlineLevel="0" collapsed="false">
      <c r="A16" s="3" t="s">
        <v>289</v>
      </c>
      <c r="B16" s="3" t="s">
        <v>1013</v>
      </c>
      <c r="C16" s="3" t="n">
        <v>3</v>
      </c>
      <c r="D16" s="3" t="s">
        <v>998</v>
      </c>
      <c r="E16" s="22" t="n">
        <v>6</v>
      </c>
      <c r="F16" s="3" t="n">
        <f aca="false">IFERROR(QUAL_JUSTIFICATIONS!B3,"")</f>
        <v>5</v>
      </c>
      <c r="G16" s="3" t="n">
        <f aca="false">IFERROR(QUAL_JUSTIFICATIONS!E3,"")</f>
        <v>4</v>
      </c>
      <c r="H16" s="3" t="n">
        <f aca="false">IFERROR(QUAL_JUSTIFICATIONS!H3,"")</f>
        <v>5</v>
      </c>
      <c r="I16" s="24" t="n">
        <f aca="false">IFERROR(E16*F16,0)</f>
        <v>30</v>
      </c>
      <c r="J16" s="24" t="n">
        <f aca="false">IFERROR(E16*G16,0)</f>
        <v>24</v>
      </c>
      <c r="K16" s="24" t="n">
        <f aca="false">IFERROR(E16*H16,0)</f>
        <v>30</v>
      </c>
      <c r="L16" s="3" t="s">
        <v>398</v>
      </c>
      <c r="M16" s="3" t="s">
        <v>1014</v>
      </c>
    </row>
    <row r="17" customFormat="false" ht="15" hidden="false" customHeight="true" outlineLevel="0" collapsed="false">
      <c r="A17" s="3" t="s">
        <v>294</v>
      </c>
      <c r="B17" s="3" t="s">
        <v>1013</v>
      </c>
      <c r="C17" s="3" t="n">
        <v>3</v>
      </c>
      <c r="D17" s="3" t="s">
        <v>998</v>
      </c>
      <c r="E17" s="22" t="n">
        <v>6</v>
      </c>
      <c r="F17" s="3" t="n">
        <f aca="false">IFERROR(QUAL_JUSTIFICATIONS!B4,"")</f>
        <v>7</v>
      </c>
      <c r="G17" s="3" t="n">
        <f aca="false">IFERROR(QUAL_JUSTIFICATIONS!E4,"")</f>
        <v>3</v>
      </c>
      <c r="H17" s="3" t="n">
        <f aca="false">IFERROR(QUAL_JUSTIFICATIONS!H4,"")</f>
        <v>7</v>
      </c>
      <c r="I17" s="24" t="n">
        <f aca="false">IFERROR(E17*F17,0)</f>
        <v>42</v>
      </c>
      <c r="J17" s="24" t="n">
        <f aca="false">IFERROR(E17*G17,0)</f>
        <v>18</v>
      </c>
      <c r="K17" s="24" t="n">
        <f aca="false">IFERROR(E17*H17,0)</f>
        <v>42</v>
      </c>
      <c r="L17" s="3" t="s">
        <v>398</v>
      </c>
      <c r="M17" s="3" t="s">
        <v>1014</v>
      </c>
    </row>
    <row r="18" customFormat="false" ht="15" hidden="false" customHeight="true" outlineLevel="0" collapsed="false">
      <c r="A18" s="3" t="s">
        <v>298</v>
      </c>
      <c r="B18" s="3" t="s">
        <v>1013</v>
      </c>
      <c r="C18" s="3" t="n">
        <v>3</v>
      </c>
      <c r="D18" s="3" t="s">
        <v>998</v>
      </c>
      <c r="E18" s="22" t="n">
        <v>5</v>
      </c>
      <c r="F18" s="3" t="n">
        <f aca="false">IFERROR(QUAL_JUSTIFICATIONS!B5,"")</f>
        <v>8</v>
      </c>
      <c r="G18" s="3" t="n">
        <f aca="false">IFERROR(QUAL_JUSTIFICATIONS!E5,"")</f>
        <v>2</v>
      </c>
      <c r="H18" s="3" t="n">
        <f aca="false">IFERROR(QUAL_JUSTIFICATIONS!H5,"")</f>
        <v>7</v>
      </c>
      <c r="I18" s="24" t="n">
        <f aca="false">IFERROR(E18*F18,0)</f>
        <v>40</v>
      </c>
      <c r="J18" s="24" t="n">
        <f aca="false">IFERROR(E18*G18,0)</f>
        <v>10</v>
      </c>
      <c r="K18" s="24" t="n">
        <f aca="false">IFERROR(E18*H18,0)</f>
        <v>35</v>
      </c>
      <c r="L18" s="3" t="s">
        <v>398</v>
      </c>
      <c r="M18" s="3" t="s">
        <v>1014</v>
      </c>
    </row>
    <row r="19" customFormat="false" ht="15" hidden="false" customHeight="true" outlineLevel="0" collapsed="false">
      <c r="A19" s="3" t="s">
        <v>1015</v>
      </c>
      <c r="B19" s="3" t="s">
        <v>1016</v>
      </c>
      <c r="C19" s="3" t="n">
        <v>3</v>
      </c>
      <c r="D19" s="3" t="s">
        <v>998</v>
      </c>
      <c r="E19" s="22" t="n">
        <v>6</v>
      </c>
      <c r="F19" s="3" t="n">
        <f aca="false">IFERROR(QUAL_JUSTIFICATIONS!B6,"")</f>
        <v>5</v>
      </c>
      <c r="G19" s="3" t="n">
        <f aca="false">IFERROR(QUAL_JUSTIFICATIONS!E6,"")</f>
        <v>5</v>
      </c>
      <c r="H19" s="3" t="n">
        <f aca="false">IFERROR(QUAL_JUSTIFICATIONS!H6,"")</f>
        <v>4</v>
      </c>
      <c r="I19" s="24" t="n">
        <f aca="false">IFERROR(E19*F19,0)</f>
        <v>30</v>
      </c>
      <c r="J19" s="24" t="n">
        <f aca="false">IFERROR(E19*G19,0)</f>
        <v>30</v>
      </c>
      <c r="K19" s="24" t="n">
        <f aca="false">IFERROR(E19*H19,0)</f>
        <v>24</v>
      </c>
      <c r="L19" s="3" t="s">
        <v>398</v>
      </c>
      <c r="M19" s="3" t="s">
        <v>1014</v>
      </c>
    </row>
    <row r="20" customFormat="false" ht="15" hidden="false" customHeight="true" outlineLevel="0" collapsed="false">
      <c r="A20" s="3" t="s">
        <v>307</v>
      </c>
      <c r="B20" s="3" t="s">
        <v>1016</v>
      </c>
      <c r="C20" s="3" t="n">
        <v>3</v>
      </c>
      <c r="D20" s="3" t="s">
        <v>998</v>
      </c>
      <c r="E20" s="22" t="n">
        <v>5</v>
      </c>
      <c r="F20" s="3" t="n">
        <f aca="false">IFERROR(QUAL_JUSTIFICATIONS!B7,"")</f>
        <v>4</v>
      </c>
      <c r="G20" s="3" t="n">
        <f aca="false">IFERROR(QUAL_JUSTIFICATIONS!E7,"")</f>
        <v>4</v>
      </c>
      <c r="H20" s="3" t="n">
        <f aca="false">IFERROR(QUAL_JUSTIFICATIONS!H7,"")</f>
        <v>5</v>
      </c>
      <c r="I20" s="24" t="n">
        <f aca="false">IFERROR(E20*F20,0)</f>
        <v>20</v>
      </c>
      <c r="J20" s="24" t="n">
        <f aca="false">IFERROR(E20*G20,0)</f>
        <v>20</v>
      </c>
      <c r="K20" s="24" t="n">
        <f aca="false">IFERROR(E20*H20,0)</f>
        <v>25</v>
      </c>
      <c r="L20" s="3" t="s">
        <v>398</v>
      </c>
      <c r="M20" s="3" t="s">
        <v>1014</v>
      </c>
    </row>
    <row r="21" customFormat="false" ht="15" hidden="false" customHeight="true" outlineLevel="0" collapsed="false">
      <c r="A21" s="3" t="s">
        <v>335</v>
      </c>
      <c r="B21" s="3" t="s">
        <v>150</v>
      </c>
      <c r="C21" s="3" t="n">
        <v>4</v>
      </c>
      <c r="D21" s="3" t="s">
        <v>998</v>
      </c>
      <c r="E21" s="22" t="n">
        <v>5</v>
      </c>
      <c r="F21" s="3" t="n">
        <f aca="false">IFERROR(QUAL_JUSTIFICATIONS!B8,"")</f>
        <v>4</v>
      </c>
      <c r="G21" s="3" t="n">
        <f aca="false">IFERROR(QUAL_JUSTIFICATIONS!E8,"")</f>
        <v>5</v>
      </c>
      <c r="H21" s="3" t="n">
        <f aca="false">IFERROR(QUAL_JUSTIFICATIONS!H8,"")</f>
        <v>9</v>
      </c>
      <c r="I21" s="24" t="n">
        <f aca="false">IFERROR(E21*F21,0)</f>
        <v>20</v>
      </c>
      <c r="J21" s="24" t="n">
        <f aca="false">IFERROR(E21*G21,0)</f>
        <v>25</v>
      </c>
      <c r="K21" s="24" t="n">
        <f aca="false">IFERROR(E21*H21,0)</f>
        <v>45</v>
      </c>
      <c r="L21" s="3" t="s">
        <v>398</v>
      </c>
      <c r="M21" s="3" t="s">
        <v>1014</v>
      </c>
    </row>
    <row r="22" customFormat="false" ht="15" hidden="false" customHeight="true" outlineLevel="0" collapsed="false">
      <c r="A22" s="3" t="s">
        <v>341</v>
      </c>
      <c r="B22" s="3" t="s">
        <v>1017</v>
      </c>
      <c r="C22" s="3" t="n">
        <v>4</v>
      </c>
      <c r="D22" s="3" t="s">
        <v>998</v>
      </c>
      <c r="E22" s="22" t="n">
        <v>4</v>
      </c>
      <c r="F22" s="3" t="n">
        <f aca="false">IFERROR(QUAL_JUSTIFICATIONS!B9,"")</f>
        <v>6</v>
      </c>
      <c r="G22" s="3" t="n">
        <f aca="false">IFERROR(QUAL_JUSTIFICATIONS!E9,"")</f>
        <v>3</v>
      </c>
      <c r="H22" s="3" t="n">
        <f aca="false">IFERROR(QUAL_JUSTIFICATIONS!H9,"")</f>
        <v>8</v>
      </c>
      <c r="I22" s="24" t="n">
        <f aca="false">IFERROR(E22*F22,0)</f>
        <v>24</v>
      </c>
      <c r="J22" s="24" t="n">
        <f aca="false">IFERROR(E22*G22,0)</f>
        <v>12</v>
      </c>
      <c r="K22" s="24" t="n">
        <f aca="false">IFERROR(E22*H22,0)</f>
        <v>32</v>
      </c>
      <c r="L22" s="3" t="s">
        <v>398</v>
      </c>
      <c r="M22" s="3" t="s">
        <v>1014</v>
      </c>
    </row>
    <row r="23" customFormat="false" ht="15" hidden="false" customHeight="true" outlineLevel="0" collapsed="false">
      <c r="A23" s="3" t="s">
        <v>345</v>
      </c>
      <c r="B23" s="3" t="s">
        <v>1017</v>
      </c>
      <c r="C23" s="3" t="n">
        <v>4</v>
      </c>
      <c r="D23" s="3" t="s">
        <v>998</v>
      </c>
      <c r="E23" s="22" t="n">
        <v>6</v>
      </c>
      <c r="F23" s="3" t="n">
        <f aca="false">IFERROR(QUAL_JUSTIFICATIONS!B10,"")</f>
        <v>7</v>
      </c>
      <c r="G23" s="3" t="n">
        <f aca="false">IFERROR(QUAL_JUSTIFICATIONS!E10,"")</f>
        <v>4</v>
      </c>
      <c r="H23" s="3" t="n">
        <f aca="false">IFERROR(QUAL_JUSTIFICATIONS!H10,"")</f>
        <v>8</v>
      </c>
      <c r="I23" s="24" t="n">
        <f aca="false">IFERROR(E23*F23,0)</f>
        <v>42</v>
      </c>
      <c r="J23" s="24" t="n">
        <f aca="false">IFERROR(E23*G23,0)</f>
        <v>24</v>
      </c>
      <c r="K23" s="24" t="n">
        <f aca="false">IFERROR(E23*H23,0)</f>
        <v>48</v>
      </c>
      <c r="L23" s="3" t="s">
        <v>398</v>
      </c>
      <c r="M23" s="3" t="s">
        <v>1014</v>
      </c>
    </row>
    <row r="24" customFormat="false" ht="15" hidden="false" customHeight="true" outlineLevel="0" collapsed="false">
      <c r="A24" s="3" t="s">
        <v>349</v>
      </c>
      <c r="B24" s="3" t="s">
        <v>1017</v>
      </c>
      <c r="C24" s="3" t="n">
        <v>4</v>
      </c>
      <c r="D24" s="3" t="s">
        <v>998</v>
      </c>
      <c r="E24" s="22" t="n">
        <v>4</v>
      </c>
      <c r="F24" s="3" t="n">
        <f aca="false">IFERROR(QUAL_JUSTIFICATIONS!B11,"")</f>
        <v>6</v>
      </c>
      <c r="G24" s="3" t="n">
        <f aca="false">IFERROR(QUAL_JUSTIFICATIONS!E11,"")</f>
        <v>5</v>
      </c>
      <c r="H24" s="3" t="n">
        <f aca="false">IFERROR(QUAL_JUSTIFICATIONS!H11,"")</f>
        <v>7</v>
      </c>
      <c r="I24" s="24" t="n">
        <f aca="false">IFERROR(E24*F24,0)</f>
        <v>24</v>
      </c>
      <c r="J24" s="24" t="n">
        <f aca="false">IFERROR(E24*G24,0)</f>
        <v>20</v>
      </c>
      <c r="K24" s="24" t="n">
        <f aca="false">IFERROR(E24*H24,0)</f>
        <v>28</v>
      </c>
      <c r="L24" s="3" t="s">
        <v>398</v>
      </c>
      <c r="M24" s="3" t="s">
        <v>1014</v>
      </c>
    </row>
    <row r="25" customFormat="false" ht="15" hidden="false" customHeight="true" outlineLevel="0" collapsed="false">
      <c r="A25" s="1" t="s">
        <v>1018</v>
      </c>
      <c r="B25" s="1" t="s">
        <v>1013</v>
      </c>
      <c r="C25" s="1" t="n">
        <v>3</v>
      </c>
      <c r="D25" s="1" t="s">
        <v>998</v>
      </c>
      <c r="E25" s="1" t="n">
        <v>7</v>
      </c>
      <c r="F25" s="1" t="n">
        <f aca="false">IFERROR(QUAL_JUSTIFICATIONS!B12,"")</f>
        <v>8</v>
      </c>
      <c r="G25" s="1" t="n">
        <f aca="false">IFERROR(QUAL_JUSTIFICATIONS!E12,"")</f>
        <v>2</v>
      </c>
      <c r="H25" s="1" t="n">
        <f aca="false">IFERROR(QUAL_JUSTIFICATIONS!H12,"")</f>
        <v>5</v>
      </c>
      <c r="I25" s="1" t="n">
        <f aca="false">IFERROR(E25*F25,0)</f>
        <v>56</v>
      </c>
      <c r="J25" s="1" t="n">
        <f aca="false">IFERROR(E25*G25,0)</f>
        <v>14</v>
      </c>
      <c r="K25" s="1" t="n">
        <f aca="false">IFERROR(E25*H25,0)</f>
        <v>35</v>
      </c>
      <c r="L25" s="1" t="s">
        <v>398</v>
      </c>
      <c r="M25" s="1" t="s">
        <v>1019</v>
      </c>
    </row>
    <row r="26" customFormat="false" ht="15" hidden="false" customHeight="true" outlineLevel="0" collapsed="false">
      <c r="A26" s="1" t="s">
        <v>1020</v>
      </c>
      <c r="B26" s="1" t="s">
        <v>1004</v>
      </c>
      <c r="C26" s="1" t="n">
        <v>3</v>
      </c>
      <c r="D26" s="1" t="s">
        <v>998</v>
      </c>
      <c r="E26" s="1" t="n">
        <v>6</v>
      </c>
      <c r="F26" s="1" t="n">
        <f aca="false">IFERROR(QUAL_JUSTIFICATIONS!B13,"")</f>
        <v>7</v>
      </c>
      <c r="G26" s="1" t="n">
        <f aca="false">IFERROR(QUAL_JUSTIFICATIONS!E13,"")</f>
        <v>2</v>
      </c>
      <c r="H26" s="1" t="n">
        <f aca="false">IFERROR(QUAL_JUSTIFICATIONS!H13,"")</f>
        <v>5</v>
      </c>
      <c r="I26" s="1" t="n">
        <f aca="false">IFERROR(E26*F26,0)</f>
        <v>42</v>
      </c>
      <c r="J26" s="1" t="n">
        <f aca="false">IFERROR(E26*G26,0)</f>
        <v>12</v>
      </c>
      <c r="K26" s="1" t="n">
        <f aca="false">IFERROR(E26*H26,0)</f>
        <v>30</v>
      </c>
      <c r="L26" s="1" t="s">
        <v>398</v>
      </c>
      <c r="M26" s="1" t="s">
        <v>1021</v>
      </c>
    </row>
    <row r="27" customFormat="false" ht="15" hidden="false" customHeight="true" outlineLevel="0" collapsed="false">
      <c r="A27" s="25" t="s">
        <v>1022</v>
      </c>
      <c r="E27" s="1" t="n">
        <f aca="false">SUM(E2:E26)</f>
        <v>167</v>
      </c>
      <c r="I27" s="24" t="n">
        <f aca="false">IFERROR(SUM(I2:I26),0)</f>
        <v>1055.19788605977</v>
      </c>
      <c r="J27" s="24" t="n">
        <f aca="false">IFERROR(SUM(J2:J26),0)</f>
        <v>527.395083941937</v>
      </c>
      <c r="K27" s="24" t="n">
        <f aca="false">IFERROR(SUM(K2:K26),0)</f>
        <v>1186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8"/>
  </cols>
  <sheetData>
    <row r="1" customFormat="false" ht="15" hidden="false" customHeight="true" outlineLevel="0" collapsed="false">
      <c r="A1" s="2" t="s">
        <v>0</v>
      </c>
      <c r="B1" s="2" t="s">
        <v>970</v>
      </c>
      <c r="C1" s="2" t="s">
        <v>1023</v>
      </c>
      <c r="D1" s="2" t="s">
        <v>1024</v>
      </c>
      <c r="E1" s="2" t="s">
        <v>971</v>
      </c>
      <c r="F1" s="2" t="s">
        <v>1025</v>
      </c>
      <c r="G1" s="2" t="s">
        <v>1026</v>
      </c>
      <c r="H1" s="2" t="s">
        <v>972</v>
      </c>
      <c r="I1" s="2" t="s">
        <v>1027</v>
      </c>
      <c r="J1" s="2" t="s">
        <v>1028</v>
      </c>
    </row>
    <row r="2" customFormat="false" ht="68.25" hidden="false" customHeight="true" outlineLevel="0" collapsed="false">
      <c r="A2" s="10" t="s">
        <v>161</v>
      </c>
      <c r="B2" s="10" t="n">
        <v>7</v>
      </c>
      <c r="C2" s="10" t="s">
        <v>1029</v>
      </c>
      <c r="D2" s="10" t="s">
        <v>551</v>
      </c>
      <c r="E2" s="10" t="n">
        <v>3</v>
      </c>
      <c r="F2" s="10" t="s">
        <v>1030</v>
      </c>
      <c r="G2" s="10" t="s">
        <v>1031</v>
      </c>
      <c r="H2" s="10" t="n">
        <v>6</v>
      </c>
      <c r="I2" s="10" t="s">
        <v>1032</v>
      </c>
      <c r="J2" s="10" t="s">
        <v>551</v>
      </c>
    </row>
    <row r="3" customFormat="false" ht="45.75" hidden="false" customHeight="true" outlineLevel="0" collapsed="false">
      <c r="A3" s="10" t="s">
        <v>289</v>
      </c>
      <c r="B3" s="10" t="n">
        <v>5</v>
      </c>
      <c r="C3" s="10" t="s">
        <v>1033</v>
      </c>
      <c r="D3" s="10" t="s">
        <v>564</v>
      </c>
      <c r="E3" s="10" t="n">
        <v>4</v>
      </c>
      <c r="F3" s="10" t="s">
        <v>1034</v>
      </c>
      <c r="G3" s="10" t="s">
        <v>564</v>
      </c>
      <c r="H3" s="10" t="n">
        <v>5</v>
      </c>
      <c r="I3" s="10" t="s">
        <v>1035</v>
      </c>
      <c r="J3" s="10" t="s">
        <v>564</v>
      </c>
    </row>
    <row r="4" customFormat="false" ht="34.5" hidden="false" customHeight="true" outlineLevel="0" collapsed="false">
      <c r="A4" s="10" t="s">
        <v>294</v>
      </c>
      <c r="B4" s="10" t="n">
        <v>7</v>
      </c>
      <c r="C4" s="10" t="s">
        <v>1036</v>
      </c>
      <c r="D4" s="10" t="s">
        <v>595</v>
      </c>
      <c r="E4" s="10" t="n">
        <v>3</v>
      </c>
      <c r="F4" s="10" t="s">
        <v>1037</v>
      </c>
      <c r="G4" s="10" t="s">
        <v>595</v>
      </c>
      <c r="H4" s="10" t="n">
        <v>7</v>
      </c>
      <c r="I4" s="10" t="s">
        <v>1038</v>
      </c>
      <c r="J4" s="10" t="s">
        <v>595</v>
      </c>
    </row>
    <row r="5" customFormat="false" ht="34.5" hidden="false" customHeight="true" outlineLevel="0" collapsed="false">
      <c r="A5" s="10" t="s">
        <v>298</v>
      </c>
      <c r="B5" s="10" t="n">
        <v>8</v>
      </c>
      <c r="C5" s="10" t="s">
        <v>1039</v>
      </c>
      <c r="D5" s="10" t="s">
        <v>595</v>
      </c>
      <c r="E5" s="10" t="n">
        <v>2</v>
      </c>
      <c r="F5" s="10" t="s">
        <v>1040</v>
      </c>
      <c r="G5" s="10" t="s">
        <v>595</v>
      </c>
      <c r="H5" s="10" t="n">
        <v>7</v>
      </c>
      <c r="I5" s="10" t="s">
        <v>1041</v>
      </c>
      <c r="J5" s="10" t="s">
        <v>595</v>
      </c>
    </row>
    <row r="6" customFormat="false" ht="34.5" hidden="false" customHeight="true" outlineLevel="0" collapsed="false">
      <c r="A6" s="10" t="s">
        <v>1015</v>
      </c>
      <c r="B6" s="10" t="n">
        <v>5</v>
      </c>
      <c r="C6" s="10" t="s">
        <v>1042</v>
      </c>
      <c r="D6" s="10" t="s">
        <v>590</v>
      </c>
      <c r="E6" s="10" t="n">
        <v>5</v>
      </c>
      <c r="F6" s="10" t="s">
        <v>1043</v>
      </c>
      <c r="G6" s="10" t="s">
        <v>1044</v>
      </c>
      <c r="H6" s="10" t="n">
        <v>4</v>
      </c>
      <c r="I6" s="10" t="s">
        <v>1045</v>
      </c>
      <c r="J6" s="10" t="s">
        <v>595</v>
      </c>
    </row>
    <row r="7" customFormat="false" ht="34.5" hidden="false" customHeight="true" outlineLevel="0" collapsed="false">
      <c r="A7" s="10" t="s">
        <v>307</v>
      </c>
      <c r="B7" s="10" t="n">
        <v>4</v>
      </c>
      <c r="C7" s="10" t="s">
        <v>1046</v>
      </c>
      <c r="D7" s="10" t="s">
        <v>564</v>
      </c>
      <c r="E7" s="10" t="n">
        <v>4</v>
      </c>
      <c r="F7" s="10" t="s">
        <v>1047</v>
      </c>
      <c r="G7" s="10" t="s">
        <v>564</v>
      </c>
      <c r="H7" s="10" t="n">
        <v>5</v>
      </c>
      <c r="I7" s="10" t="s">
        <v>1048</v>
      </c>
      <c r="J7" s="10" t="s">
        <v>564</v>
      </c>
    </row>
    <row r="8" customFormat="false" ht="45.75" hidden="false" customHeight="true" outlineLevel="0" collapsed="false">
      <c r="A8" s="10" t="s">
        <v>335</v>
      </c>
      <c r="B8" s="10" t="n">
        <v>4</v>
      </c>
      <c r="C8" s="10" t="s">
        <v>1049</v>
      </c>
      <c r="D8" s="10" t="s">
        <v>551</v>
      </c>
      <c r="E8" s="10" t="n">
        <v>5</v>
      </c>
      <c r="F8" s="10" t="s">
        <v>1050</v>
      </c>
      <c r="G8" s="10" t="s">
        <v>551</v>
      </c>
      <c r="H8" s="10" t="n">
        <v>9</v>
      </c>
      <c r="I8" s="10" t="s">
        <v>1051</v>
      </c>
      <c r="J8" s="10" t="s">
        <v>551</v>
      </c>
    </row>
    <row r="9" customFormat="false" ht="45.75" hidden="false" customHeight="true" outlineLevel="0" collapsed="false">
      <c r="A9" s="10" t="s">
        <v>341</v>
      </c>
      <c r="B9" s="10" t="n">
        <v>6</v>
      </c>
      <c r="C9" s="10" t="s">
        <v>1052</v>
      </c>
      <c r="D9" s="10" t="s">
        <v>595</v>
      </c>
      <c r="E9" s="10" t="n">
        <v>3</v>
      </c>
      <c r="F9" s="10" t="s">
        <v>1053</v>
      </c>
      <c r="G9" s="10" t="s">
        <v>595</v>
      </c>
      <c r="H9" s="10" t="n">
        <v>8</v>
      </c>
      <c r="I9" s="10" t="s">
        <v>1054</v>
      </c>
      <c r="J9" s="10" t="s">
        <v>595</v>
      </c>
    </row>
    <row r="10" customFormat="false" ht="34.5" hidden="false" customHeight="true" outlineLevel="0" collapsed="false">
      <c r="A10" s="10" t="s">
        <v>345</v>
      </c>
      <c r="B10" s="10" t="n">
        <v>7</v>
      </c>
      <c r="C10" s="10" t="s">
        <v>1055</v>
      </c>
      <c r="D10" s="10" t="s">
        <v>595</v>
      </c>
      <c r="E10" s="10" t="n">
        <v>4</v>
      </c>
      <c r="F10" s="10" t="s">
        <v>1056</v>
      </c>
      <c r="G10" s="10" t="s">
        <v>595</v>
      </c>
      <c r="H10" s="10" t="n">
        <v>8</v>
      </c>
      <c r="I10" s="10" t="s">
        <v>1057</v>
      </c>
      <c r="J10" s="10" t="s">
        <v>595</v>
      </c>
    </row>
    <row r="11" customFormat="false" ht="45.75" hidden="false" customHeight="true" outlineLevel="0" collapsed="false">
      <c r="A11" s="10" t="s">
        <v>349</v>
      </c>
      <c r="B11" s="10" t="n">
        <v>6</v>
      </c>
      <c r="C11" s="10" t="s">
        <v>1058</v>
      </c>
      <c r="D11" s="10" t="s">
        <v>595</v>
      </c>
      <c r="E11" s="10" t="n">
        <v>5</v>
      </c>
      <c r="F11" s="10" t="s">
        <v>1059</v>
      </c>
      <c r="G11" s="10" t="s">
        <v>595</v>
      </c>
      <c r="H11" s="10" t="n">
        <v>7</v>
      </c>
      <c r="I11" s="10" t="s">
        <v>1060</v>
      </c>
      <c r="J11" s="10" t="s">
        <v>595</v>
      </c>
    </row>
    <row r="12" customFormat="false" ht="15" hidden="false" customHeight="false" outlineLevel="0" collapsed="false">
      <c r="A12" s="1" t="s">
        <v>1018</v>
      </c>
      <c r="B12" s="1" t="n">
        <v>8</v>
      </c>
      <c r="C12" s="1" t="s">
        <v>1061</v>
      </c>
      <c r="D12" s="1" t="s">
        <v>1062</v>
      </c>
      <c r="E12" s="1" t="n">
        <v>2</v>
      </c>
      <c r="F12" s="1" t="s">
        <v>1063</v>
      </c>
      <c r="G12" s="1" t="s">
        <v>543</v>
      </c>
      <c r="H12" s="1" t="n">
        <v>5</v>
      </c>
      <c r="I12" s="1" t="s">
        <v>1064</v>
      </c>
      <c r="J12" s="1" t="s">
        <v>595</v>
      </c>
    </row>
    <row r="13" customFormat="false" ht="15" hidden="false" customHeight="false" outlineLevel="0" collapsed="false">
      <c r="A13" s="1" t="s">
        <v>1020</v>
      </c>
      <c r="B13" s="1" t="n">
        <v>7</v>
      </c>
      <c r="C13" s="1" t="s">
        <v>1065</v>
      </c>
      <c r="D13" s="1" t="s">
        <v>1066</v>
      </c>
      <c r="E13" s="1" t="n">
        <v>2</v>
      </c>
      <c r="F13" s="1" t="s">
        <v>1067</v>
      </c>
      <c r="G13" s="1" t="s">
        <v>543</v>
      </c>
      <c r="H13" s="1" t="n">
        <v>5</v>
      </c>
      <c r="I13" s="1" t="s">
        <v>1068</v>
      </c>
      <c r="J13" s="1" t="s">
        <v>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2026-04-06T02:03:11Z</dcterms:created>
  <dc:creator>openpyxl</dc:creator>
  <dc:description/>
  <dc:language>en-US</dc:language>
  <cp:lastModifiedBy/>
  <dcterms:modified xsi:type="dcterms:W3CDTF">2026-04-16T22:01:17Z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